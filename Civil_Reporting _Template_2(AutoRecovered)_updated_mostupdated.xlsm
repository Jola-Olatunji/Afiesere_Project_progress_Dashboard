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la\Desktop\CAKASA Project Dashboard\Afisiere Project Progress Dashboard\"/>
    </mc:Choice>
  </mc:AlternateContent>
  <xr:revisionPtr revIDLastSave="0" documentId="13_ncr:1_{92A2E65E-30D9-46F9-A051-5FF0F3A40E59}" xr6:coauthVersionLast="47" xr6:coauthVersionMax="47" xr10:uidLastSave="{00000000-0000-0000-0000-000000000000}"/>
  <bookViews>
    <workbookView xWindow="-120" yWindow="-120" windowWidth="20730" windowHeight="11160" activeTab="1" xr2:uid="{8BEC9EF8-12DE-485E-82AC-914216ED3078}"/>
  </bookViews>
  <sheets>
    <sheet name="Civil_Dashboard" sheetId="3" r:id="rId1"/>
    <sheet name="Civil_Data" sheetId="1" r:id="rId2"/>
    <sheet name="Civil_Summary" sheetId="2" r:id="rId3"/>
    <sheet name="Upcoming_Deadline" sheetId="6" r:id="rId4"/>
  </sheets>
  <definedNames>
    <definedName name="Complete" localSheetId="2">Civil_Summary!$O$4:$O$12</definedName>
    <definedName name="Complete">Civil_Data!$V$5:$V$5</definedName>
    <definedName name="In_Progress" localSheetId="2">Civil_Summary!$N$4:$N$12</definedName>
    <definedName name="In_Progress">Civil_Data!$U$5:$U$13</definedName>
    <definedName name="InProgress">Table2[InProgress]</definedName>
    <definedName name="Undone" localSheetId="2">Civil_Summary!$M$4:$M$12</definedName>
    <definedName name="Undone">Civil_Data!$T$5:$T$5</definedName>
  </definedNames>
  <calcPr calcId="181029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2" l="1"/>
  <c r="K4" i="2"/>
  <c r="K5" i="2"/>
  <c r="K7" i="2"/>
  <c r="K8" i="2"/>
  <c r="J11" i="2"/>
  <c r="J4" i="2"/>
  <c r="J5" i="2"/>
  <c r="J6" i="2"/>
  <c r="J7" i="2"/>
  <c r="J8" i="2"/>
  <c r="J9" i="2"/>
  <c r="J10" i="2"/>
  <c r="I18" i="2"/>
  <c r="AB28" i="1"/>
  <c r="AD28" i="1"/>
  <c r="AB29" i="1"/>
  <c r="AD29" i="1"/>
  <c r="AB30" i="1"/>
  <c r="AD30" i="1"/>
  <c r="AB31" i="1"/>
  <c r="AD31" i="1"/>
  <c r="AB32" i="1"/>
  <c r="AD32" i="1"/>
  <c r="AB33" i="1"/>
  <c r="AD33" i="1"/>
  <c r="AB34" i="1"/>
  <c r="AD34" i="1"/>
  <c r="AB35" i="1"/>
  <c r="AD35" i="1"/>
  <c r="AB36" i="1"/>
  <c r="AD36" i="1"/>
  <c r="AB37" i="1"/>
  <c r="AD37" i="1"/>
  <c r="I4" i="2"/>
  <c r="Z40" i="1"/>
  <c r="AA40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S2" i="1"/>
  <c r="I5" i="2"/>
  <c r="I6" i="2"/>
  <c r="I7" i="2"/>
  <c r="I8" i="2"/>
  <c r="I9" i="2"/>
  <c r="I10" i="2"/>
  <c r="J2" i="6"/>
  <c r="Q26" i="2"/>
  <c r="Q27" i="2"/>
  <c r="Q28" i="2"/>
  <c r="Q29" i="2"/>
  <c r="O26" i="2"/>
  <c r="O27" i="2"/>
  <c r="O28" i="2"/>
  <c r="O29" i="2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I11" i="2" l="1"/>
  <c r="I12" i="2" s="1"/>
  <c r="Q31" i="2"/>
  <c r="Q30" i="2"/>
  <c r="O31" i="2"/>
  <c r="O30" i="2"/>
  <c r="U20" i="1" l="1"/>
  <c r="U16" i="1"/>
  <c r="U19" i="1" s="1"/>
  <c r="U22" i="1" s="1"/>
  <c r="F16" i="2"/>
  <c r="F17" i="2" s="1"/>
  <c r="R4" i="2"/>
  <c r="R5" i="2"/>
  <c r="R6" i="2"/>
  <c r="R7" i="2"/>
  <c r="R8" i="2"/>
  <c r="R9" i="2"/>
  <c r="R10" i="2"/>
  <c r="R11" i="2"/>
  <c r="R12" i="2"/>
  <c r="C5" i="2"/>
  <c r="C6" i="2"/>
  <c r="O14" i="2"/>
  <c r="N14" i="2"/>
  <c r="M14" i="2"/>
  <c r="G4" i="2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H4" i="2" l="1"/>
  <c r="F25" i="2"/>
  <c r="M16" i="2"/>
  <c r="N16" i="2"/>
  <c r="O16" i="2"/>
  <c r="G11" i="2"/>
  <c r="G12" i="2" s="1"/>
  <c r="H11" i="2" l="1"/>
  <c r="N26" i="2" l="1"/>
  <c r="N27" i="2" l="1"/>
  <c r="N29" i="2"/>
  <c r="N28" i="2"/>
  <c r="N31" i="2" l="1"/>
  <c r="N30" i="2"/>
  <c r="H14" i="1" l="1"/>
  <c r="K14" i="1" s="1"/>
  <c r="H11" i="1" l="1"/>
  <c r="K11" i="1" s="1"/>
  <c r="H12" i="1"/>
  <c r="K12" i="1" s="1"/>
  <c r="H13" i="1"/>
  <c r="K13" i="1" s="1"/>
  <c r="H8" i="1" l="1"/>
  <c r="K8" i="1" s="1"/>
  <c r="H9" i="1"/>
  <c r="K9" i="1" s="1"/>
  <c r="H10" i="1"/>
  <c r="K10" i="1" s="1"/>
  <c r="G12" i="1" l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H5" i="1" l="1"/>
  <c r="K5" i="1" s="1"/>
  <c r="G6" i="1"/>
  <c r="J6" i="1" s="1"/>
  <c r="H6" i="1"/>
  <c r="K6" i="1" s="1"/>
  <c r="H7" i="1" l="1"/>
  <c r="K7" i="1" s="1"/>
  <c r="P29" i="2" s="1"/>
  <c r="G8" i="1" l="1"/>
  <c r="J8" i="1" s="1"/>
  <c r="G9" i="1"/>
  <c r="J9" i="1" s="1"/>
  <c r="G10" i="1"/>
  <c r="J10" i="1" s="1"/>
  <c r="G11" i="1"/>
  <c r="J11" i="1" s="1"/>
  <c r="Y23" i="1"/>
  <c r="J20" i="3"/>
  <c r="K20" i="3"/>
  <c r="L20" i="3"/>
  <c r="M20" i="3"/>
  <c r="J21" i="3"/>
  <c r="K21" i="3"/>
  <c r="L21" i="3"/>
  <c r="M21" i="3"/>
  <c r="J22" i="3"/>
  <c r="K22" i="3"/>
  <c r="L22" i="3"/>
  <c r="M22" i="3"/>
  <c r="J23" i="3"/>
  <c r="K23" i="3"/>
  <c r="L23" i="3"/>
  <c r="M23" i="3"/>
  <c r="J24" i="3"/>
  <c r="K24" i="3"/>
  <c r="L24" i="3"/>
  <c r="M24" i="3"/>
  <c r="J25" i="3"/>
  <c r="K25" i="3"/>
  <c r="L25" i="3"/>
  <c r="M25" i="3"/>
  <c r="J26" i="3"/>
  <c r="K26" i="3"/>
  <c r="L26" i="3"/>
  <c r="M26" i="3"/>
  <c r="J27" i="3"/>
  <c r="K27" i="3"/>
  <c r="L27" i="3"/>
  <c r="M27" i="3"/>
  <c r="G2" i="1"/>
  <c r="H2" i="1"/>
  <c r="J2" i="1"/>
  <c r="K2" i="1"/>
  <c r="G3" i="1"/>
  <c r="H3" i="1"/>
  <c r="J3" i="1"/>
  <c r="K3" i="1"/>
  <c r="G4" i="1"/>
  <c r="H4" i="1"/>
  <c r="J4" i="1"/>
  <c r="K4" i="1"/>
  <c r="G5" i="1"/>
  <c r="J5" i="1"/>
  <c r="G7" i="1"/>
  <c r="J7" i="1"/>
  <c r="U23" i="1"/>
  <c r="U24" i="1"/>
  <c r="Y24" i="1"/>
  <c r="Y25" i="1"/>
  <c r="K6" i="2"/>
  <c r="K9" i="2"/>
  <c r="K10" i="2"/>
  <c r="K11" i="2"/>
  <c r="K12" i="2"/>
  <c r="P26" i="2"/>
  <c r="R26" i="2"/>
  <c r="P27" i="2"/>
  <c r="R27" i="2"/>
  <c r="P28" i="2"/>
  <c r="R28" i="2"/>
  <c r="R29" i="2"/>
  <c r="P30" i="2"/>
  <c r="R30" i="2"/>
  <c r="P31" i="2"/>
  <c r="O32" i="2"/>
  <c r="B2" i="6"/>
  <c r="B3" i="6"/>
  <c r="A6" i="6" a="1"/>
  <c r="A6" i="6"/>
  <c r="B6" i="6" a="1"/>
  <c r="B6" i="6"/>
  <c r="C6" i="6" a="1"/>
  <c r="C6" i="6"/>
  <c r="D6" i="6" a="1"/>
  <c r="D6" i="6"/>
  <c r="E6" i="6" a="1"/>
  <c r="E6" i="6"/>
  <c r="F6" i="6" a="1"/>
  <c r="F6" i="6"/>
  <c r="G6" i="6" a="1"/>
  <c r="G6" i="6"/>
  <c r="H6" i="6" a="1"/>
  <c r="H6" i="6"/>
  <c r="I6" i="6"/>
  <c r="A7" i="6" a="1"/>
  <c r="A7" i="6"/>
  <c r="B7" i="6" a="1"/>
  <c r="B7" i="6"/>
  <c r="C7" i="6" a="1"/>
  <c r="C7" i="6"/>
  <c r="D7" i="6" a="1"/>
  <c r="D7" i="6"/>
  <c r="E7" i="6" a="1"/>
  <c r="E7" i="6"/>
  <c r="F7" i="6" a="1"/>
  <c r="F7" i="6"/>
  <c r="G7" i="6" a="1"/>
  <c r="G7" i="6"/>
  <c r="H7" i="6" a="1"/>
  <c r="H7" i="6"/>
  <c r="I7" i="6"/>
  <c r="A8" i="6" a="1"/>
  <c r="A8" i="6"/>
  <c r="B8" i="6" a="1"/>
  <c r="B8" i="6"/>
  <c r="C8" i="6" a="1"/>
  <c r="C8" i="6"/>
  <c r="D8" i="6" a="1"/>
  <c r="D8" i="6"/>
  <c r="E8" i="6" a="1"/>
  <c r="E8" i="6"/>
  <c r="F8" i="6" a="1"/>
  <c r="F8" i="6"/>
  <c r="G8" i="6" a="1"/>
  <c r="G8" i="6"/>
  <c r="H8" i="6" a="1"/>
  <c r="H8" i="6"/>
  <c r="I8" i="6"/>
  <c r="A9" i="6" a="1"/>
  <c r="A9" i="6"/>
  <c r="B9" i="6" a="1"/>
  <c r="B9" i="6"/>
  <c r="C9" i="6" a="1"/>
  <c r="C9" i="6"/>
  <c r="D9" i="6" a="1"/>
  <c r="D9" i="6"/>
  <c r="E9" i="6" a="1"/>
  <c r="E9" i="6"/>
  <c r="F9" i="6" a="1"/>
  <c r="F9" i="6"/>
  <c r="G9" i="6" a="1"/>
  <c r="G9" i="6"/>
  <c r="H9" i="6" a="1"/>
  <c r="H9" i="6"/>
  <c r="I9" i="6"/>
  <c r="A10" i="6" a="1"/>
  <c r="A10" i="6"/>
  <c r="B10" i="6" a="1"/>
  <c r="B10" i="6"/>
  <c r="C10" i="6" a="1"/>
  <c r="C10" i="6"/>
  <c r="D10" i="6" a="1"/>
  <c r="D10" i="6"/>
  <c r="E10" i="6" a="1"/>
  <c r="E10" i="6"/>
  <c r="F10" i="6" a="1"/>
  <c r="F10" i="6"/>
  <c r="G10" i="6" a="1"/>
  <c r="G10" i="6"/>
  <c r="H10" i="6" a="1"/>
  <c r="H10" i="6"/>
  <c r="I10" i="6"/>
  <c r="A11" i="6" a="1"/>
  <c r="A11" i="6"/>
  <c r="B11" i="6" a="1"/>
  <c r="B11" i="6"/>
  <c r="C11" i="6" a="1"/>
  <c r="C11" i="6"/>
  <c r="D11" i="6" a="1"/>
  <c r="D11" i="6"/>
  <c r="E11" i="6" a="1"/>
  <c r="E11" i="6"/>
  <c r="F11" i="6" a="1"/>
  <c r="F11" i="6"/>
  <c r="G11" i="6" a="1"/>
  <c r="G11" i="6"/>
  <c r="H11" i="6" a="1"/>
  <c r="H11" i="6"/>
  <c r="I11" i="6"/>
  <c r="A12" i="6" a="1"/>
  <c r="A12" i="6"/>
  <c r="B12" i="6" a="1"/>
  <c r="B12" i="6"/>
  <c r="C12" i="6" a="1"/>
  <c r="C12" i="6"/>
  <c r="D12" i="6" a="1"/>
  <c r="D12" i="6"/>
  <c r="E12" i="6" a="1"/>
  <c r="E12" i="6"/>
  <c r="F12" i="6" a="1"/>
  <c r="F12" i="6"/>
  <c r="G12" i="6" a="1"/>
  <c r="G12" i="6"/>
  <c r="H12" i="6" a="1"/>
  <c r="H12" i="6"/>
  <c r="I12" i="6"/>
  <c r="A13" i="6" a="1"/>
  <c r="A13" i="6"/>
  <c r="B13" i="6" a="1"/>
  <c r="B13" i="6"/>
  <c r="C13" i="6" a="1"/>
  <c r="C13" i="6"/>
  <c r="D13" i="6" a="1"/>
  <c r="D13" i="6"/>
  <c r="E13" i="6" a="1"/>
  <c r="E13" i="6"/>
  <c r="F13" i="6" a="1"/>
  <c r="F13" i="6"/>
  <c r="G13" i="6" a="1"/>
  <c r="G13" i="6"/>
  <c r="H13" i="6" a="1"/>
  <c r="H13" i="6"/>
  <c r="I13" i="6"/>
  <c r="A14" i="6" a="1"/>
  <c r="A14" i="6"/>
  <c r="B14" i="6" a="1"/>
  <c r="B14" i="6"/>
  <c r="C14" i="6" a="1"/>
  <c r="C14" i="6"/>
  <c r="D14" i="6" a="1"/>
  <c r="D14" i="6"/>
  <c r="E14" i="6" a="1"/>
  <c r="E14" i="6"/>
  <c r="F14" i="6" a="1"/>
  <c r="F14" i="6"/>
  <c r="G14" i="6" a="1"/>
  <c r="G14" i="6"/>
  <c r="H14" i="6" a="1"/>
  <c r="H14" i="6"/>
  <c r="I14" i="6"/>
  <c r="A15" i="6" a="1"/>
  <c r="A15" i="6"/>
  <c r="B15" i="6" a="1"/>
  <c r="B15" i="6"/>
  <c r="C15" i="6" a="1"/>
  <c r="C15" i="6"/>
  <c r="D15" i="6" a="1"/>
  <c r="D15" i="6"/>
  <c r="E15" i="6" a="1"/>
  <c r="E15" i="6"/>
  <c r="F15" i="6" a="1"/>
  <c r="F15" i="6"/>
  <c r="G15" i="6" a="1"/>
  <c r="G15" i="6"/>
  <c r="H15" i="6" a="1"/>
  <c r="H15" i="6"/>
  <c r="I15" i="6"/>
  <c r="A16" i="6" a="1"/>
  <c r="A16" i="6"/>
  <c r="B16" i="6" a="1"/>
  <c r="B16" i="6"/>
  <c r="C16" i="6" a="1"/>
  <c r="C16" i="6"/>
  <c r="D16" i="6" a="1"/>
  <c r="D16" i="6"/>
  <c r="E16" i="6" a="1"/>
  <c r="E16" i="6"/>
  <c r="F16" i="6" a="1"/>
  <c r="F16" i="6"/>
  <c r="G16" i="6" a="1"/>
  <c r="G16" i="6"/>
  <c r="H16" i="6" a="1"/>
  <c r="H16" i="6"/>
  <c r="I16" i="6"/>
  <c r="A17" i="6" a="1"/>
  <c r="A17" i="6"/>
  <c r="B17" i="6" a="1"/>
  <c r="B17" i="6"/>
  <c r="C17" i="6" a="1"/>
  <c r="C17" i="6"/>
  <c r="D17" i="6" a="1"/>
  <c r="D17" i="6"/>
  <c r="E17" i="6" a="1"/>
  <c r="E17" i="6"/>
  <c r="F17" i="6" a="1"/>
  <c r="F17" i="6"/>
  <c r="G17" i="6" a="1"/>
  <c r="G17" i="6"/>
  <c r="H17" i="6" a="1"/>
  <c r="H17" i="6"/>
  <c r="I17" i="6"/>
  <c r="A18" i="6" a="1"/>
  <c r="A18" i="6"/>
  <c r="B18" i="6" a="1"/>
  <c r="B18" i="6"/>
  <c r="C18" i="6" a="1"/>
  <c r="C18" i="6"/>
  <c r="D18" i="6" a="1"/>
  <c r="D18" i="6"/>
  <c r="E18" i="6" a="1"/>
  <c r="E18" i="6"/>
  <c r="F18" i="6" a="1"/>
  <c r="F18" i="6"/>
  <c r="G18" i="6" a="1"/>
  <c r="G18" i="6"/>
  <c r="H18" i="6" a="1"/>
  <c r="H18" i="6"/>
  <c r="I18" i="6"/>
  <c r="A19" i="6" a="1"/>
  <c r="A19" i="6"/>
  <c r="B19" i="6" a="1"/>
  <c r="B19" i="6"/>
  <c r="C19" i="6" a="1"/>
  <c r="C19" i="6"/>
  <c r="D19" i="6" a="1"/>
  <c r="D19" i="6"/>
  <c r="E19" i="6" a="1"/>
  <c r="E19" i="6"/>
  <c r="F19" i="6" a="1"/>
  <c r="F19" i="6"/>
  <c r="G19" i="6" a="1"/>
  <c r="G19" i="6"/>
  <c r="H19" i="6" a="1"/>
  <c r="H19" i="6"/>
  <c r="I19" i="6"/>
  <c r="A20" i="6" a="1"/>
  <c r="A20" i="6"/>
  <c r="B20" i="6" a="1"/>
  <c r="B20" i="6"/>
  <c r="C20" i="6" a="1"/>
  <c r="C20" i="6"/>
  <c r="D20" i="6" a="1"/>
  <c r="D20" i="6"/>
  <c r="E20" i="6" a="1"/>
  <c r="E20" i="6"/>
  <c r="F20" i="6" a="1"/>
  <c r="F20" i="6"/>
  <c r="G20" i="6" a="1"/>
  <c r="G20" i="6"/>
  <c r="H20" i="6" a="1"/>
  <c r="H20" i="6"/>
  <c r="I20" i="6"/>
  <c r="A21" i="6" a="1"/>
  <c r="A21" i="6"/>
  <c r="B21" i="6" a="1"/>
  <c r="B21" i="6"/>
  <c r="C21" i="6" a="1"/>
  <c r="C21" i="6"/>
  <c r="D21" i="6" a="1"/>
  <c r="D21" i="6"/>
  <c r="E21" i="6" a="1"/>
  <c r="E21" i="6"/>
  <c r="F21" i="6" a="1"/>
  <c r="F21" i="6"/>
  <c r="G21" i="6" a="1"/>
  <c r="G21" i="6"/>
  <c r="H21" i="6" a="1"/>
  <c r="H21" i="6"/>
  <c r="I21" i="6"/>
  <c r="A22" i="6" a="1"/>
  <c r="A22" i="6"/>
  <c r="B22" i="6" a="1"/>
  <c r="B22" i="6"/>
  <c r="C22" i="6" a="1"/>
  <c r="C22" i="6"/>
  <c r="D22" i="6" a="1"/>
  <c r="D22" i="6"/>
  <c r="E22" i="6" a="1"/>
  <c r="E22" i="6"/>
  <c r="F22" i="6" a="1"/>
  <c r="F22" i="6"/>
  <c r="G22" i="6" a="1"/>
  <c r="G22" i="6"/>
  <c r="H22" i="6" a="1"/>
  <c r="H22" i="6"/>
  <c r="I22" i="6"/>
  <c r="A23" i="6" a="1"/>
  <c r="A23" i="6"/>
  <c r="B23" i="6" a="1"/>
  <c r="B23" i="6"/>
  <c r="C23" i="6" a="1"/>
  <c r="C23" i="6"/>
  <c r="D23" i="6" a="1"/>
  <c r="D23" i="6"/>
  <c r="E23" i="6" a="1"/>
  <c r="E23" i="6"/>
  <c r="F23" i="6" a="1"/>
  <c r="F23" i="6"/>
  <c r="G23" i="6" a="1"/>
  <c r="G23" i="6"/>
  <c r="H23" i="6" a="1"/>
  <c r="H23" i="6"/>
  <c r="I23" i="6"/>
  <c r="A24" i="6" a="1"/>
  <c r="A24" i="6"/>
  <c r="B24" i="6" a="1"/>
  <c r="B24" i="6"/>
  <c r="C24" i="6" a="1"/>
  <c r="C24" i="6"/>
  <c r="D24" i="6" a="1"/>
  <c r="D24" i="6"/>
  <c r="E24" i="6" a="1"/>
  <c r="E24" i="6"/>
  <c r="F24" i="6" a="1"/>
  <c r="F24" i="6"/>
  <c r="G24" i="6" a="1"/>
  <c r="G24" i="6"/>
  <c r="H24" i="6" a="1"/>
  <c r="H24" i="6"/>
  <c r="I24" i="6"/>
</calcChain>
</file>

<file path=xl/sharedStrings.xml><?xml version="1.0" encoding="utf-8"?>
<sst xmlns="http://schemas.openxmlformats.org/spreadsheetml/2006/main" count="246" uniqueCount="96">
  <si>
    <t>S/N</t>
  </si>
  <si>
    <t>Structure_Type</t>
  </si>
  <si>
    <t>Structure_Name</t>
  </si>
  <si>
    <t>Owner</t>
  </si>
  <si>
    <t>Status</t>
  </si>
  <si>
    <t>%_Completion</t>
  </si>
  <si>
    <t>Quality_Checked</t>
  </si>
  <si>
    <t>Shelter</t>
  </si>
  <si>
    <t>Skids</t>
  </si>
  <si>
    <t>Ground</t>
  </si>
  <si>
    <t>Fence</t>
  </si>
  <si>
    <t>Time_Alloted(hrs)</t>
  </si>
  <si>
    <t>Undone</t>
  </si>
  <si>
    <t>Complete</t>
  </si>
  <si>
    <t>%_Progress</t>
  </si>
  <si>
    <t>Total</t>
  </si>
  <si>
    <t>Yes</t>
  </si>
  <si>
    <t>No</t>
  </si>
  <si>
    <t>%</t>
  </si>
  <si>
    <t>Access Platform</t>
  </si>
  <si>
    <t>Pipe_Support</t>
  </si>
  <si>
    <t>Count</t>
  </si>
  <si>
    <t>Obeha</t>
  </si>
  <si>
    <t>Ebube</t>
  </si>
  <si>
    <t>Habeeb</t>
  </si>
  <si>
    <t>Quality</t>
  </si>
  <si>
    <t>Start_Date</t>
  </si>
  <si>
    <t>End_Date</t>
  </si>
  <si>
    <t>Current_Date</t>
  </si>
  <si>
    <t>Overall Progress</t>
  </si>
  <si>
    <t>Percentage</t>
  </si>
  <si>
    <t>CountDown</t>
  </si>
  <si>
    <t>Jola</t>
  </si>
  <si>
    <t>Comment</t>
  </si>
  <si>
    <t>Total Project days</t>
  </si>
  <si>
    <t>Last_Updated</t>
  </si>
  <si>
    <t>Time_Taken</t>
  </si>
  <si>
    <t>Estimated_End_Date</t>
  </si>
  <si>
    <t>holiday</t>
  </si>
  <si>
    <t>Gate_1</t>
  </si>
  <si>
    <t>Drainage</t>
  </si>
  <si>
    <t>Pump_House_Shelter</t>
  </si>
  <si>
    <t>Radio_Hut</t>
  </si>
  <si>
    <t>Manifold_Skid</t>
  </si>
  <si>
    <t>Access_1</t>
  </si>
  <si>
    <t>Generator_House</t>
  </si>
  <si>
    <t>Test_Seperator_access</t>
  </si>
  <si>
    <t>Flow_Station_Pipesupport</t>
  </si>
  <si>
    <t>Mess-Room</t>
  </si>
  <si>
    <t>Task_ID</t>
  </si>
  <si>
    <t>Task</t>
  </si>
  <si>
    <t>Task_Owner</t>
  </si>
  <si>
    <t>Due_Today</t>
  </si>
  <si>
    <t>Please Add Comment</t>
  </si>
  <si>
    <t>Task-Completed</t>
  </si>
  <si>
    <t>InProgress</t>
  </si>
  <si>
    <t>InProgress_Count</t>
  </si>
  <si>
    <t>Alloted_Time</t>
  </si>
  <si>
    <t>All_Task_Count</t>
  </si>
  <si>
    <t>% Completion</t>
  </si>
  <si>
    <t xml:space="preserve"> </t>
  </si>
  <si>
    <t>% Contribution by Hours</t>
  </si>
  <si>
    <t>Hours_spent</t>
  </si>
  <si>
    <t>Expected_end_Date</t>
  </si>
  <si>
    <t>Days_Due</t>
  </si>
  <si>
    <t>Over Due Tasks
 (Moderate Risks)</t>
  </si>
  <si>
    <t>Over Due Tasks
 (High Risks)</t>
  </si>
  <si>
    <t>Overtime</t>
  </si>
  <si>
    <t>overall_status</t>
  </si>
  <si>
    <t>Task_Completed</t>
  </si>
  <si>
    <t>Equip str &amp; l</t>
  </si>
  <si>
    <t>Name</t>
  </si>
  <si>
    <t>Structural_name</t>
  </si>
  <si>
    <t>start_Date</t>
  </si>
  <si>
    <t>Complete_Log</t>
  </si>
  <si>
    <t>Start_Log</t>
  </si>
  <si>
    <t>Comment_Log</t>
  </si>
  <si>
    <t>I did It</t>
  </si>
  <si>
    <t>cumulative_hours_earened</t>
  </si>
  <si>
    <t>cumulative_hours_planned</t>
  </si>
  <si>
    <t>cumulative_alloted_time</t>
  </si>
  <si>
    <t>Seperator_access</t>
  </si>
  <si>
    <t>Access_2</t>
  </si>
  <si>
    <t>compressor_shelter_1</t>
  </si>
  <si>
    <t>compressor_shelter_2</t>
  </si>
  <si>
    <t>Compressor_shelter_#</t>
  </si>
  <si>
    <t>Column1</t>
  </si>
  <si>
    <t>access_3</t>
  </si>
  <si>
    <t>compressor_skids</t>
  </si>
  <si>
    <t>access_platform_5</t>
  </si>
  <si>
    <t>access_platform_7</t>
  </si>
  <si>
    <t>column 2</t>
  </si>
  <si>
    <t>cumulative_time-taken</t>
  </si>
  <si>
    <t>everything is going smoothly</t>
  </si>
  <si>
    <t>hours_planned</t>
  </si>
  <si>
    <t>Hours_earned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</si>
</sst>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&quot;%&quot;"/>
    <numFmt numFmtId="165" formatCode="[$-F800]dddd\,\ mmmm\ dd\,\ yyyy"/>
    <numFmt numFmtId="166" formatCode="[$-F400]h:mm:ss\ AM/PM"/>
    <numFmt numFmtId="167" formatCode="dd/mm/yyyy\ hh:mm:ss"/>
    <numFmt numFmtId="168" formatCode="0.0"/>
    <numFmt numFmtId="169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0" fillId="0" borderId="0" xfId="1" applyNumberFormat="1" applyFont="1"/>
    <xf numFmtId="1" fontId="0" fillId="0" borderId="0" xfId="0" applyNumberFormat="1"/>
    <xf numFmtId="0" fontId="3" fillId="3" borderId="0" xfId="0" applyFont="1" applyFill="1" applyAlignment="1">
      <alignment horizontal="center" vertical="center"/>
    </xf>
    <xf numFmtId="0" fontId="2" fillId="4" borderId="0" xfId="0" applyFont="1" applyFill="1"/>
    <xf numFmtId="164" fontId="0" fillId="0" borderId="0" xfId="0" applyNumberFormat="1"/>
    <xf numFmtId="164" fontId="3" fillId="0" borderId="0" xfId="0" applyNumberFormat="1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7" fontId="3" fillId="0" borderId="0" xfId="0" applyNumberFormat="1" applyFon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2" fontId="0" fillId="0" borderId="0" xfId="0" applyNumberFormat="1"/>
    <xf numFmtId="168" fontId="0" fillId="0" borderId="0" xfId="0" applyNumberFormat="1"/>
    <xf numFmtId="0" fontId="0" fillId="0" borderId="0" xfId="0" applyAlignment="1">
      <alignment wrapText="1"/>
    </xf>
    <xf numFmtId="22" fontId="3" fillId="0" borderId="0" xfId="0" applyNumberFormat="1" applyFont="1"/>
    <xf numFmtId="0" fontId="3" fillId="0" borderId="1" xfId="0" applyFont="1" applyBorder="1"/>
    <xf numFmtId="165" fontId="0" fillId="0" borderId="2" xfId="0" applyNumberFormat="1" applyBorder="1"/>
    <xf numFmtId="0" fontId="3" fillId="0" borderId="3" xfId="0" applyFont="1" applyBorder="1"/>
    <xf numFmtId="165" fontId="0" fillId="0" borderId="4" xfId="0" applyNumberFormat="1" applyBorder="1"/>
    <xf numFmtId="0" fontId="0" fillId="0" borderId="3" xfId="0" applyBorder="1"/>
    <xf numFmtId="0" fontId="0" fillId="0" borderId="4" xfId="0" applyBorder="1"/>
    <xf numFmtId="1" fontId="0" fillId="0" borderId="4" xfId="0" applyNumberFormat="1" applyBorder="1"/>
    <xf numFmtId="0" fontId="3" fillId="0" borderId="5" xfId="0" applyFont="1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3" fillId="2" borderId="7" xfId="0" applyFont="1" applyFill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center" vertical="center"/>
    </xf>
    <xf numFmtId="22" fontId="3" fillId="2" borderId="7" xfId="0" applyNumberFormat="1" applyFont="1" applyFill="1" applyBorder="1" applyAlignment="1">
      <alignment horizontal="center" vertical="center"/>
    </xf>
    <xf numFmtId="0" fontId="0" fillId="0" borderId="7" xfId="0" applyBorder="1"/>
    <xf numFmtId="0" fontId="3" fillId="2" borderId="2" xfId="0" applyFont="1" applyFill="1" applyBorder="1" applyAlignment="1">
      <alignment horizontal="center" vertical="center"/>
    </xf>
    <xf numFmtId="0" fontId="0" fillId="0" borderId="8" xfId="0" applyBorder="1"/>
    <xf numFmtId="167" fontId="0" fillId="0" borderId="8" xfId="0" applyNumberFormat="1" applyBorder="1"/>
    <xf numFmtId="22" fontId="0" fillId="0" borderId="8" xfId="0" applyNumberFormat="1" applyBorder="1"/>
    <xf numFmtId="1" fontId="0" fillId="0" borderId="8" xfId="0" applyNumberFormat="1" applyBorder="1"/>
    <xf numFmtId="0" fontId="3" fillId="0" borderId="8" xfId="0" applyFont="1" applyBorder="1"/>
    <xf numFmtId="0" fontId="0" fillId="0" borderId="8" xfId="1" applyNumberFormat="1" applyFont="1" applyBorder="1"/>
    <xf numFmtId="169" fontId="0" fillId="0" borderId="8" xfId="0" applyNumberFormat="1" applyBorder="1"/>
    <xf numFmtId="166" fontId="0" fillId="0" borderId="8" xfId="0" applyNumberFormat="1" applyBorder="1"/>
    <xf numFmtId="2" fontId="3" fillId="0" borderId="0" xfId="0" applyNumberFormat="1" applyFont="1"/>
    <xf numFmtId="165" fontId="0" fillId="0" borderId="8" xfId="0" applyNumberFormat="1" applyBorder="1"/>
  </cellXfs>
  <cellStyles count="2">
    <cellStyle name="Normal" xfId="0" builtinId="0"/>
    <cellStyle name="Percent" xfId="1" builtinId="5"/>
  </cellStyles>
  <dxfs count="164">
    <dxf>
      <numFmt numFmtId="0" formatCode="General"/>
    </dxf>
    <dxf>
      <numFmt numFmtId="165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1" formatCode="0"/>
    </dxf>
    <dxf>
      <numFmt numFmtId="168" formatCode="0.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64" formatCode="#&quot;%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7C80"/>
      </font>
      <fill>
        <patternFill>
          <bgColor rgb="FFC0000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42020"/>
      <color rgb="FFFF9966"/>
      <color rgb="FFDA0000"/>
      <color rgb="FFFFFFFF"/>
      <color rgb="FF13223D"/>
      <color rgb="FFED7D31"/>
      <color rgb="FFB293B3"/>
      <color rgb="FFF7F7F7"/>
      <color rgb="FFF9FAFD"/>
      <color rgb="FF1A2E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0513335662936"/>
          <c:y val="0.18811890227028547"/>
          <c:w val="0.79236775435213824"/>
          <c:h val="0.81051556114429424"/>
        </c:manualLayout>
      </c:layout>
      <c:barChart>
        <c:barDir val="bar"/>
        <c:grouping val="clustered"/>
        <c:varyColors val="0"/>
        <c:ser>
          <c:idx val="0"/>
          <c:order val="0"/>
          <c:tx>
            <c:v>Count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Civil_Summary!$F$4:$F$10</c:f>
              <c:strCache>
                <c:ptCount val="7"/>
                <c:pt idx="0">
                  <c:v>Shelter</c:v>
                </c:pt>
                <c:pt idx="1">
                  <c:v>Skids</c:v>
                </c:pt>
                <c:pt idx="2">
                  <c:v>Access 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</c:strCache>
            </c:strRef>
          </c:cat>
          <c:val>
            <c:numRef>
              <c:f>Civil_Summary!$G$4:$G$10</c:f>
              <c:numCache>
                <c:formatCode>General</c:formatCode>
                <c:ptCount val="7"/>
                <c:pt idx="0">
                  <c:v>7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8-4F79-8569-A021D9317257}"/>
            </c:ext>
          </c:extLst>
        </c:ser>
        <c:ser>
          <c:idx val="1"/>
          <c:order val="1"/>
          <c:tx>
            <c:v>Completed</c:v>
          </c:tx>
          <c:spPr>
            <a:solidFill>
              <a:schemeClr val="accent1">
                <a:lumMod val="50000"/>
              </a:schemeClr>
            </a:solidFill>
            <a:ln>
              <a:solidFill>
                <a:srgbClr val="FFFFFF">
                  <a:alpha val="99000"/>
                </a:srgb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Civil_Summary!$F$4:$F$10</c:f>
              <c:strCache>
                <c:ptCount val="7"/>
                <c:pt idx="0">
                  <c:v>Shelter</c:v>
                </c:pt>
                <c:pt idx="1">
                  <c:v>Skids</c:v>
                </c:pt>
                <c:pt idx="2">
                  <c:v>Access 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</c:strCache>
            </c:strRef>
          </c:cat>
          <c:val>
            <c:numRef>
              <c:f>Civil_Summary!$I$4:$I$10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F8-4F79-8569-A021D93172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96"/>
        <c:axId val="690150848"/>
        <c:axId val="690144368"/>
      </c:barChart>
      <c:catAx>
        <c:axId val="690150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0144368"/>
        <c:crosses val="autoZero"/>
        <c:auto val="1"/>
        <c:lblAlgn val="ctr"/>
        <c:lblOffset val="100"/>
        <c:noMultiLvlLbl val="0"/>
      </c:catAx>
      <c:valAx>
        <c:axId val="6901443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9015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039762535864086"/>
          <c:y val="2.9889894950299523E-2"/>
          <c:w val="0.27612140361697363"/>
          <c:h val="0.15761049732425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702861160302298"/>
          <c:y val="0.16055846422338568"/>
          <c:w val="0.782971388396977"/>
          <c:h val="0.8313482018936114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Civil_Summary!$J$3</c:f>
              <c:strCache>
                <c:ptCount val="1"/>
                <c:pt idx="0">
                  <c:v>hours_planned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Civil_Summary!$F$4:$F$10</c:f>
              <c:strCache>
                <c:ptCount val="7"/>
                <c:pt idx="0">
                  <c:v>Shelter</c:v>
                </c:pt>
                <c:pt idx="1">
                  <c:v>Skids</c:v>
                </c:pt>
                <c:pt idx="2">
                  <c:v>Access 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</c:strCache>
            </c:strRef>
          </c:cat>
          <c:val>
            <c:numRef>
              <c:f>Civil_Summary!$J$4:$J$10</c:f>
              <c:numCache>
                <c:formatCode>0</c:formatCode>
                <c:ptCount val="7"/>
                <c:pt idx="0">
                  <c:v>29</c:v>
                </c:pt>
                <c:pt idx="1">
                  <c:v>7</c:v>
                </c:pt>
                <c:pt idx="2">
                  <c:v>20</c:v>
                </c:pt>
                <c:pt idx="3">
                  <c:v>5</c:v>
                </c:pt>
                <c:pt idx="4">
                  <c:v>2</c:v>
                </c:pt>
                <c:pt idx="5">
                  <c:v>17</c:v>
                </c:pt>
                <c:pt idx="6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C-4D84-8DC5-D5C286BAA877}"/>
            </c:ext>
          </c:extLst>
        </c:ser>
        <c:ser>
          <c:idx val="1"/>
          <c:order val="1"/>
          <c:tx>
            <c:strRef>
              <c:f>Civil_Summary!$K$3</c:f>
              <c:strCache>
                <c:ptCount val="1"/>
                <c:pt idx="0">
                  <c:v>Hours_earned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Civil_Summary!$F$4:$F$10</c:f>
              <c:strCache>
                <c:ptCount val="7"/>
                <c:pt idx="0">
                  <c:v>Shelter</c:v>
                </c:pt>
                <c:pt idx="1">
                  <c:v>Skids</c:v>
                </c:pt>
                <c:pt idx="2">
                  <c:v>Access 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</c:strCache>
            </c:strRef>
          </c:cat>
          <c:val>
            <c:numRef>
              <c:f>Civil_Summary!$K$4:$K$10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1.4825472221709788</c:v>
                </c:pt>
                <c:pt idx="3">
                  <c:v>0</c:v>
                </c:pt>
                <c:pt idx="4">
                  <c:v>0</c:v>
                </c:pt>
                <c:pt idx="5">
                  <c:v>1.3122500001336448</c:v>
                </c:pt>
                <c:pt idx="6">
                  <c:v>1.3125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3C-4D84-8DC5-D5C286BAA8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8203760"/>
        <c:axId val="698200880"/>
      </c:barChart>
      <c:catAx>
        <c:axId val="698203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8200880"/>
        <c:crosses val="autoZero"/>
        <c:auto val="1"/>
        <c:lblAlgn val="ctr"/>
        <c:lblOffset val="100"/>
        <c:noMultiLvlLbl val="0"/>
      </c:catAx>
      <c:valAx>
        <c:axId val="69820088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69820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2658675128295529"/>
          <c:y val="3.0634181198554371E-2"/>
          <c:w val="0.38386100991107452"/>
          <c:h val="0.152705885586291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66555401969453E-2"/>
          <c:y val="0.17226879357586608"/>
          <c:w val="0.928634974791959"/>
          <c:h val="0.3911845730027548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Civil_Summary!$P$25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Civil_Summary!$P$30</c:f>
              <c:numCache>
                <c:formatCode>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2-402A-8B6E-0C21113AB3C6}"/>
            </c:ext>
          </c:extLst>
        </c:ser>
        <c:ser>
          <c:idx val="1"/>
          <c:order val="1"/>
          <c:tx>
            <c:strRef>
              <c:f>Civil_Summary!$Q$25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Civil_Summary!$Q$30</c:f>
              <c:numCache>
                <c:formatCode>General</c:formatCode>
                <c:ptCount val="1"/>
                <c:pt idx="0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2-402A-8B6E-0C21113AB3C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82783504"/>
        <c:axId val="782780624"/>
      </c:barChart>
      <c:catAx>
        <c:axId val="782783504"/>
        <c:scaling>
          <c:orientation val="minMax"/>
        </c:scaling>
        <c:delete val="1"/>
        <c:axPos val="l"/>
        <c:majorTickMark val="none"/>
        <c:minorTickMark val="none"/>
        <c:tickLblPos val="nextTo"/>
        <c:crossAx val="782780624"/>
        <c:crosses val="autoZero"/>
        <c:auto val="1"/>
        <c:lblAlgn val="ctr"/>
        <c:lblOffset val="100"/>
        <c:noMultiLvlLbl val="0"/>
      </c:catAx>
      <c:valAx>
        <c:axId val="78278062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78278350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</c:legendEntry>
      <c:layout>
        <c:manualLayout>
          <c:xMode val="edge"/>
          <c:yMode val="edge"/>
          <c:x val="2.7242605616975033E-2"/>
          <c:y val="0.4236517531463409"/>
          <c:w val="0.71250275438899191"/>
          <c:h val="0.38760848494713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836029280242228E-2"/>
          <c:y val="8.1877041431424019E-2"/>
          <c:w val="0.88765588593463862"/>
          <c:h val="0.78266656585885619"/>
        </c:manualLayout>
      </c:layout>
      <c:lineChart>
        <c:grouping val="standard"/>
        <c:varyColors val="0"/>
        <c:ser>
          <c:idx val="0"/>
          <c:order val="0"/>
          <c:tx>
            <c:v>Planned</c:v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Civil_Data!$AC$28:$AC$39</c:f>
              <c:numCache>
                <c:formatCode>General</c:formatCode>
                <c:ptCount val="12"/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15</c:v>
                </c:pt>
                <c:pt idx="6">
                  <c:v>11</c:v>
                </c:pt>
                <c:pt idx="7">
                  <c:v>10</c:v>
                </c:pt>
                <c:pt idx="8">
                  <c:v>9</c:v>
                </c:pt>
                <c:pt idx="9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9-4BE2-90A0-3175232FFFE5}"/>
            </c:ext>
          </c:extLst>
        </c:ser>
        <c:ser>
          <c:idx val="1"/>
          <c:order val="1"/>
          <c:tx>
            <c:v>Earned</c:v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Civil_Data!$AE$28:$AE$39</c:f>
              <c:numCache>
                <c:formatCode>General</c:formatCode>
                <c:ptCount val="12"/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A9-4BE2-90A0-3175232FFFE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26041688"/>
        <c:axId val="826042048"/>
      </c:lineChart>
      <c:catAx>
        <c:axId val="826041688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826042048"/>
        <c:crosses val="autoZero"/>
        <c:auto val="1"/>
        <c:lblAlgn val="ctr"/>
        <c:lblOffset val="100"/>
        <c:noMultiLvlLbl val="0"/>
      </c:catAx>
      <c:valAx>
        <c:axId val="8260420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26041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2931331330578421E-2"/>
          <c:y val="4.7813378954728501E-2"/>
          <c:w val="0.17785399038201"/>
          <c:h val="0.251215408122179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solidFill>
                <a:srgbClr val="FFFFFF">
                  <a:alpha val="0"/>
                </a:srgbClr>
              </a:solidFill>
            </a:ln>
          </c:spPr>
          <c:dPt>
            <c:idx val="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33-4E28-8EE4-CAB53D0F9F8A}"/>
              </c:ext>
            </c:extLst>
          </c:dPt>
          <c:dPt>
            <c:idx val="1"/>
            <c:bubble3D val="0"/>
            <c:spPr>
              <a:solidFill>
                <a:srgbClr val="ED7D31">
                  <a:alpha val="0"/>
                </a:srgbClr>
              </a:solidFill>
              <a:ln w="1905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33-4E28-8EE4-CAB53D0F9F8A}"/>
              </c:ext>
            </c:extLst>
          </c:dPt>
          <c:cat>
            <c:strRef>
              <c:f>Civil_Summary!$B$5:$B$6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Civil_Summary!$C$5:$C$6</c:f>
              <c:numCache>
                <c:formatCode>#"%"</c:formatCode>
                <c:ptCount val="2"/>
                <c:pt idx="0">
                  <c:v>90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33-4E28-8EE4-CAB53D0F9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1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341745255177659"/>
          <c:y val="0.18503073160092684"/>
          <c:w val="0.50395714499112032"/>
          <c:h val="0.5659866502837241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tx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2A-4729-B37E-BD7364002F5A}"/>
              </c:ext>
            </c:extLst>
          </c:dPt>
          <c:dPt>
            <c:idx val="1"/>
            <c:bubble3D val="0"/>
            <c:spPr>
              <a:solidFill>
                <a:srgbClr val="FFFFFF">
                  <a:alpha val="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2A-4729-B37E-BD7364002F5A}"/>
              </c:ext>
            </c:extLst>
          </c:dPt>
          <c:val>
            <c:numRef>
              <c:f>Civil_Summary!$F$16:$F$17</c:f>
              <c:numCache>
                <c:formatCode>#"%"</c:formatCode>
                <c:ptCount val="2"/>
                <c:pt idx="0">
                  <c:v>30.833333333333332</c:v>
                </c:pt>
                <c:pt idx="1">
                  <c:v>69.166666666666671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2A-4729-B37E-BD7364002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7"/>
        <c:holeSize val="7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rgbClr val="FFFFFF"/>
              </a:solidFill>
            </a:ln>
          </c:spPr>
          <c:dPt>
            <c:idx val="0"/>
            <c:bubble3D val="0"/>
            <c:spPr>
              <a:solidFill>
                <a:srgbClr val="DA0000"/>
              </a:solidFill>
              <a:ln w="0">
                <a:solidFill>
                  <a:srgbClr val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1A-402F-A5D7-F61BF81ACD63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0">
                <a:solidFill>
                  <a:srgbClr val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1A-402F-A5D7-F61BF81ACD63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0">
                <a:solidFill>
                  <a:srgbClr val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1A-402F-A5D7-F61BF81ACD63}"/>
              </c:ext>
            </c:extLst>
          </c:dPt>
          <c:dLbls>
            <c:delete val="1"/>
          </c:dLbls>
          <c:cat>
            <c:strRef>
              <c:f>Civil_Summary!$M$3:$O$3</c:f>
              <c:strCache>
                <c:ptCount val="3"/>
                <c:pt idx="0">
                  <c:v>Undone</c:v>
                </c:pt>
                <c:pt idx="1">
                  <c:v>InProgress</c:v>
                </c:pt>
                <c:pt idx="2">
                  <c:v>Complete</c:v>
                </c:pt>
              </c:strCache>
            </c:strRef>
          </c:cat>
          <c:val>
            <c:numRef>
              <c:f>Civil_Summary!$M$14:$O$14</c:f>
              <c:numCache>
                <c:formatCode>General</c:formatCode>
                <c:ptCount val="3"/>
                <c:pt idx="0">
                  <c:v>23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1A-402F-A5D7-F61BF81ACD6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38910837377714"/>
          <c:y val="9.8397363581044589E-2"/>
          <c:w val="0.34063650294096809"/>
          <c:h val="0.785826285334007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/>
            </a:solidFill>
            <a:ln w="0">
              <a:solidFill>
                <a:srgbClr val="FFFFFF">
                  <a:alpha val="0"/>
                </a:srgb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A000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C7-4A0B-95B9-E29E0963F822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C7-4A0B-95B9-E29E0963F822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3C7-4A0B-95B9-E29E0963F8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Civil_Summary!$M$3:$O$3</c:f>
              <c:strCache>
                <c:ptCount val="3"/>
                <c:pt idx="0">
                  <c:v>Undone</c:v>
                </c:pt>
                <c:pt idx="1">
                  <c:v>InProgress</c:v>
                </c:pt>
                <c:pt idx="2">
                  <c:v>Complete</c:v>
                </c:pt>
              </c:strCache>
            </c:strRef>
          </c:cat>
          <c:val>
            <c:numRef>
              <c:f>Civil_Summary!$M$14:$O$14</c:f>
              <c:numCache>
                <c:formatCode>General</c:formatCode>
                <c:ptCount val="3"/>
                <c:pt idx="0">
                  <c:v>23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C7-4A0B-95B9-E29E0963F8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axId val="528216864"/>
        <c:axId val="528225504"/>
      </c:barChart>
      <c:valAx>
        <c:axId val="52822550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8216864"/>
        <c:crosses val="autoZero"/>
        <c:crossBetween val="between"/>
      </c:valAx>
      <c:catAx>
        <c:axId val="5282168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8225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B3-4E65-A38F-E2789B0AAD7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B3-4E65-A38F-E2789B0AAD77}"/>
              </c:ext>
            </c:extLst>
          </c:dPt>
          <c:cat>
            <c:strRef>
              <c:f>Civil_Summary!$B$5:$B$6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Civil_Summary!$C$5:$C$6</c:f>
              <c:numCache>
                <c:formatCode>#"%"</c:formatCode>
                <c:ptCount val="2"/>
                <c:pt idx="0">
                  <c:v>90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B-4423-9C5A-56FEB9E23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Civil_Summary!$R$3</c:f>
              <c:strCache>
                <c:ptCount val="1"/>
                <c:pt idx="0">
                  <c:v>InProgress_Count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Civil_Summary!$Q$4:$Q$12</c:f>
              <c:numCache>
                <c:formatCode>#"%"</c:formatCode>
                <c:ptCount val="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</c:numCache>
            </c:numRef>
          </c:cat>
          <c:val>
            <c:numRef>
              <c:f>Civil_Summary!$R$4:$R$12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0-4BD9-BE95-86970F5B9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8034336"/>
        <c:axId val="528032536"/>
      </c:barChart>
      <c:catAx>
        <c:axId val="528034336"/>
        <c:scaling>
          <c:orientation val="minMax"/>
        </c:scaling>
        <c:delete val="0"/>
        <c:axPos val="b"/>
        <c:numFmt formatCode="#&quot;%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032536"/>
        <c:crosses val="autoZero"/>
        <c:auto val="1"/>
        <c:lblAlgn val="ctr"/>
        <c:lblOffset val="100"/>
        <c:noMultiLvlLbl val="0"/>
      </c:catAx>
      <c:valAx>
        <c:axId val="52803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03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Civil_Summary!$M$26:$M$29</c:f>
              <c:strCache>
                <c:ptCount val="4"/>
                <c:pt idx="0">
                  <c:v>Jola</c:v>
                </c:pt>
                <c:pt idx="1">
                  <c:v>Obeha</c:v>
                </c:pt>
                <c:pt idx="2">
                  <c:v>Ebube</c:v>
                </c:pt>
                <c:pt idx="3">
                  <c:v>Habeeb</c:v>
                </c:pt>
              </c:strCache>
            </c:strRef>
          </c:cat>
          <c:val>
            <c:numRef>
              <c:f>Civil_Summary!$N$26:$N$29</c:f>
              <c:numCache>
                <c:formatCode>General</c:formatCode>
                <c:ptCount val="4"/>
                <c:pt idx="0">
                  <c:v>9</c:v>
                </c:pt>
                <c:pt idx="1">
                  <c:v>3</c:v>
                </c:pt>
                <c:pt idx="2">
                  <c:v>6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4-4C3D-8888-CB7FA89AA36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28223704"/>
        <c:axId val="528220104"/>
      </c:barChart>
      <c:catAx>
        <c:axId val="52822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220104"/>
        <c:crosses val="autoZero"/>
        <c:auto val="1"/>
        <c:lblAlgn val="ctr"/>
        <c:lblOffset val="100"/>
        <c:noMultiLvlLbl val="0"/>
      </c:catAx>
      <c:valAx>
        <c:axId val="5282201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822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Civil_Summary!$M$26:$M$29</c:f>
              <c:strCache>
                <c:ptCount val="4"/>
                <c:pt idx="0">
                  <c:v>Jola</c:v>
                </c:pt>
                <c:pt idx="1">
                  <c:v>Obeha</c:v>
                </c:pt>
                <c:pt idx="2">
                  <c:v>Ebube</c:v>
                </c:pt>
                <c:pt idx="3">
                  <c:v>Habeeb</c:v>
                </c:pt>
              </c:strCache>
            </c:strRef>
          </c:cat>
          <c:val>
            <c:numRef>
              <c:f>Civil_Summary!$P$26:$P$29</c:f>
              <c:numCache>
                <c:formatCode>0.0</c:formatCode>
                <c:ptCount val="4"/>
                <c:pt idx="0">
                  <c:v>1.4825472221709788</c:v>
                </c:pt>
                <c:pt idx="1">
                  <c:v>1.3125</c:v>
                </c:pt>
                <c:pt idx="2">
                  <c:v>1.3122500001336448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A-4D3D-9307-AC63A31BCD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04995184"/>
        <c:axId val="604989424"/>
      </c:barChart>
      <c:catAx>
        <c:axId val="60499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04989424"/>
        <c:crosses val="autoZero"/>
        <c:auto val="1"/>
        <c:lblAlgn val="ctr"/>
        <c:lblOffset val="100"/>
        <c:noMultiLvlLbl val="0"/>
      </c:catAx>
      <c:valAx>
        <c:axId val="60498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0499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Civil_Summary!$F$4:$F$10</c:f>
              <c:strCache>
                <c:ptCount val="7"/>
                <c:pt idx="0">
                  <c:v>Shelter</c:v>
                </c:pt>
                <c:pt idx="1">
                  <c:v>Skids</c:v>
                </c:pt>
                <c:pt idx="2">
                  <c:v>Access 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</c:strCache>
            </c:strRef>
          </c:cat>
          <c:val>
            <c:numRef>
              <c:f>Civil_Summary!$H$4:$H$10</c:f>
              <c:numCache>
                <c:formatCode>0</c:formatCode>
                <c:ptCount val="7"/>
                <c:pt idx="0">
                  <c:v>33.333333333333329</c:v>
                </c:pt>
                <c:pt idx="1">
                  <c:v>9.5238095238095237</c:v>
                </c:pt>
                <c:pt idx="2">
                  <c:v>23.809523809523807</c:v>
                </c:pt>
                <c:pt idx="3">
                  <c:v>9.5238095238095237</c:v>
                </c:pt>
                <c:pt idx="4">
                  <c:v>4.7619047619047619</c:v>
                </c:pt>
                <c:pt idx="5">
                  <c:v>9.5238095238095237</c:v>
                </c:pt>
                <c:pt idx="6">
                  <c:v>9.5238095238095237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8-4766-A7F2-1A313E5E8F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Civil_Summary!$F$4:$F$10</c:f>
              <c:strCache>
                <c:ptCount val="7"/>
                <c:pt idx="0">
                  <c:v>Shelter</c:v>
                </c:pt>
                <c:pt idx="1">
                  <c:v>Skids</c:v>
                </c:pt>
                <c:pt idx="2">
                  <c:v>Access 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</c:strCache>
            </c:strRef>
          </c:cat>
          <c:val>
            <c:numRef>
              <c:f>Civil_Summary!$I$4:$I$10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E4-4CCD-B929-4E8BD7252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90150848"/>
        <c:axId val="690144368"/>
      </c:barChart>
      <c:catAx>
        <c:axId val="690150848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0144368"/>
        <c:crosses val="autoZero"/>
        <c:auto val="1"/>
        <c:lblAlgn val="ctr"/>
        <c:lblOffset val="100"/>
        <c:noMultiLvlLbl val="0"/>
      </c:catAx>
      <c:valAx>
        <c:axId val="69014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G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015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Civil_Summary!$N$25</c:f>
              <c:strCache>
                <c:ptCount val="1"/>
                <c:pt idx="0">
                  <c:v>All_Task_Count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Civil_Summary!$M$26:$M$29</c:f>
              <c:strCache>
                <c:ptCount val="4"/>
                <c:pt idx="0">
                  <c:v>Jola</c:v>
                </c:pt>
                <c:pt idx="1">
                  <c:v>Obeha</c:v>
                </c:pt>
                <c:pt idx="2">
                  <c:v>Ebube</c:v>
                </c:pt>
                <c:pt idx="3">
                  <c:v>Habeeb</c:v>
                </c:pt>
              </c:strCache>
            </c:strRef>
          </c:cat>
          <c:val>
            <c:numRef>
              <c:f>Civil_Summary!$N$26:$N$29</c:f>
              <c:numCache>
                <c:formatCode>General</c:formatCode>
                <c:ptCount val="4"/>
                <c:pt idx="0">
                  <c:v>9</c:v>
                </c:pt>
                <c:pt idx="1">
                  <c:v>3</c:v>
                </c:pt>
                <c:pt idx="2">
                  <c:v>6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79-4ECD-B6D7-48B335C18701}"/>
            </c:ext>
          </c:extLst>
        </c:ser>
        <c:ser>
          <c:idx val="1"/>
          <c:order val="1"/>
          <c:tx>
            <c:strRef>
              <c:f>Civil_Summary!$O$25</c:f>
              <c:strCache>
                <c:ptCount val="1"/>
                <c:pt idx="0">
                  <c:v>Task-Completed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Civil_Summary!$M$26:$M$29</c:f>
              <c:strCache>
                <c:ptCount val="4"/>
                <c:pt idx="0">
                  <c:v>Jola</c:v>
                </c:pt>
                <c:pt idx="1">
                  <c:v>Obeha</c:v>
                </c:pt>
                <c:pt idx="2">
                  <c:v>Ebube</c:v>
                </c:pt>
                <c:pt idx="3">
                  <c:v>Habeeb</c:v>
                </c:pt>
              </c:strCache>
            </c:strRef>
          </c:cat>
          <c:val>
            <c:numRef>
              <c:f>Civil_Summary!$O$26:$O$29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9-4ECD-B6D7-48B335C18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3042728"/>
        <c:axId val="743043808"/>
      </c:barChart>
      <c:catAx>
        <c:axId val="743042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43043808"/>
        <c:crosses val="autoZero"/>
        <c:auto val="1"/>
        <c:lblAlgn val="ctr"/>
        <c:lblOffset val="100"/>
        <c:noMultiLvlLbl val="0"/>
      </c:catAx>
      <c:valAx>
        <c:axId val="7430438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3042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Civil_Summary!$Q$25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Civil_Summary!$M$26:$M$29</c:f>
              <c:strCache>
                <c:ptCount val="4"/>
                <c:pt idx="0">
                  <c:v>Jola</c:v>
                </c:pt>
                <c:pt idx="1">
                  <c:v>Obeha</c:v>
                </c:pt>
                <c:pt idx="2">
                  <c:v>Ebube</c:v>
                </c:pt>
                <c:pt idx="3">
                  <c:v>Habeeb</c:v>
                </c:pt>
              </c:strCache>
            </c:strRef>
          </c:cat>
          <c:val>
            <c:numRef>
              <c:f>Civil_Summary!$Q$26:$Q$29</c:f>
              <c:numCache>
                <c:formatCode>General</c:formatCode>
                <c:ptCount val="4"/>
                <c:pt idx="0">
                  <c:v>21</c:v>
                </c:pt>
                <c:pt idx="1">
                  <c:v>19</c:v>
                </c:pt>
                <c:pt idx="2">
                  <c:v>40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0E-4A03-B521-A7D2E071F5B5}"/>
            </c:ext>
          </c:extLst>
        </c:ser>
        <c:ser>
          <c:idx val="1"/>
          <c:order val="1"/>
          <c:tx>
            <c:strRef>
              <c:f>Civil_Summary!$P$25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Civil_Summary!$M$26:$M$29</c:f>
              <c:strCache>
                <c:ptCount val="4"/>
                <c:pt idx="0">
                  <c:v>Jola</c:v>
                </c:pt>
                <c:pt idx="1">
                  <c:v>Obeha</c:v>
                </c:pt>
                <c:pt idx="2">
                  <c:v>Ebube</c:v>
                </c:pt>
                <c:pt idx="3">
                  <c:v>Habeeb</c:v>
                </c:pt>
              </c:strCache>
            </c:strRef>
          </c:cat>
          <c:val>
            <c:numRef>
              <c:f>Civil_Summary!$P$26:$P$29</c:f>
              <c:numCache>
                <c:formatCode>0.0</c:formatCode>
                <c:ptCount val="4"/>
                <c:pt idx="0">
                  <c:v>1.4825472221709788</c:v>
                </c:pt>
                <c:pt idx="1">
                  <c:v>1.3125</c:v>
                </c:pt>
                <c:pt idx="2">
                  <c:v>1.3122500001336448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0E-4A03-B521-A7D2E071F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3046688"/>
        <c:axId val="743047768"/>
      </c:barChart>
      <c:catAx>
        <c:axId val="74304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43047768"/>
        <c:crosses val="autoZero"/>
        <c:auto val="1"/>
        <c:lblAlgn val="ctr"/>
        <c:lblOffset val="100"/>
        <c:noMultiLvlLbl val="0"/>
      </c:catAx>
      <c:valAx>
        <c:axId val="743047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304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2E-4294-A73D-7DE28AD83B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2E-4294-A73D-7DE28AD83B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2E-4294-A73D-7DE28AD83B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72E-4294-A73D-7DE28AD83BF2}"/>
              </c:ext>
            </c:extLst>
          </c:dPt>
          <c:cat>
            <c:strRef>
              <c:f>Civil_Summary!$M$26:$M$29</c:f>
              <c:strCache>
                <c:ptCount val="4"/>
                <c:pt idx="0">
                  <c:v>Jola</c:v>
                </c:pt>
                <c:pt idx="1">
                  <c:v>Obeha</c:v>
                </c:pt>
                <c:pt idx="2">
                  <c:v>Ebube</c:v>
                </c:pt>
                <c:pt idx="3">
                  <c:v>Habeeb</c:v>
                </c:pt>
              </c:strCache>
            </c:strRef>
          </c:cat>
          <c:val>
            <c:numRef>
              <c:f>Civil_Summary!$R$26:$R$29</c:f>
              <c:numCache>
                <c:formatCode>0.00</c:formatCode>
                <c:ptCount val="4"/>
                <c:pt idx="0">
                  <c:v>0.3706368055427447</c:v>
                </c:pt>
                <c:pt idx="1">
                  <c:v>0.328125</c:v>
                </c:pt>
                <c:pt idx="2">
                  <c:v>0.3280625000334112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1-4708-B118-7BD014F09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2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Civil_Summary!$P$25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Civil_Summary!$P$30</c:f>
              <c:numCache>
                <c:formatCode>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CD-49EC-A3C7-87243A1E52C3}"/>
            </c:ext>
          </c:extLst>
        </c:ser>
        <c:ser>
          <c:idx val="1"/>
          <c:order val="1"/>
          <c:tx>
            <c:strRef>
              <c:f>Civil_Summary!$Q$25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Civil_Summary!$Q$30</c:f>
              <c:numCache>
                <c:formatCode>General</c:formatCode>
                <c:ptCount val="1"/>
                <c:pt idx="0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CD-49EC-A3C7-87243A1E52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82783504"/>
        <c:axId val="782780624"/>
      </c:barChart>
      <c:catAx>
        <c:axId val="782783504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82780624"/>
        <c:crosses val="autoZero"/>
        <c:auto val="1"/>
        <c:lblAlgn val="ctr"/>
        <c:lblOffset val="100"/>
        <c:noMultiLvlLbl val="0"/>
      </c:catAx>
      <c:valAx>
        <c:axId val="78278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8278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4.7796404423955816E-2"/>
          <c:w val="0.90286351706036749"/>
          <c:h val="0.708183962441674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Civil_Summary!$J$3</c:f>
              <c:strCache>
                <c:ptCount val="1"/>
                <c:pt idx="0">
                  <c:v>hours_planned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Civil_Summary!$F$4:$F$10</c:f>
              <c:strCache>
                <c:ptCount val="7"/>
                <c:pt idx="0">
                  <c:v>Shelter</c:v>
                </c:pt>
                <c:pt idx="1">
                  <c:v>Skids</c:v>
                </c:pt>
                <c:pt idx="2">
                  <c:v>Access 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</c:strCache>
            </c:strRef>
          </c:cat>
          <c:val>
            <c:numRef>
              <c:f>Civil_Summary!$J$4:$J$10</c:f>
              <c:numCache>
                <c:formatCode>0</c:formatCode>
                <c:ptCount val="7"/>
                <c:pt idx="0">
                  <c:v>29</c:v>
                </c:pt>
                <c:pt idx="1">
                  <c:v>7</c:v>
                </c:pt>
                <c:pt idx="2">
                  <c:v>20</c:v>
                </c:pt>
                <c:pt idx="3">
                  <c:v>5</c:v>
                </c:pt>
                <c:pt idx="4">
                  <c:v>2</c:v>
                </c:pt>
                <c:pt idx="5">
                  <c:v>17</c:v>
                </c:pt>
                <c:pt idx="6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9-452A-B08D-0B5A02AADAC8}"/>
            </c:ext>
          </c:extLst>
        </c:ser>
        <c:ser>
          <c:idx val="1"/>
          <c:order val="1"/>
          <c:tx>
            <c:strRef>
              <c:f>Civil_Summary!$K$3</c:f>
              <c:strCache>
                <c:ptCount val="1"/>
                <c:pt idx="0">
                  <c:v>Hours_earned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Civil_Summary!$F$4:$F$10</c:f>
              <c:strCache>
                <c:ptCount val="7"/>
                <c:pt idx="0">
                  <c:v>Shelter</c:v>
                </c:pt>
                <c:pt idx="1">
                  <c:v>Skids</c:v>
                </c:pt>
                <c:pt idx="2">
                  <c:v>Access 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</c:strCache>
            </c:strRef>
          </c:cat>
          <c:val>
            <c:numRef>
              <c:f>Civil_Summary!$K$4:$K$10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1.4825472221709788</c:v>
                </c:pt>
                <c:pt idx="3">
                  <c:v>0</c:v>
                </c:pt>
                <c:pt idx="4">
                  <c:v>0</c:v>
                </c:pt>
                <c:pt idx="5">
                  <c:v>1.3122500001336448</c:v>
                </c:pt>
                <c:pt idx="6">
                  <c:v>1.3125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9-452A-B08D-0B5A02AAD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203760"/>
        <c:axId val="698200880"/>
      </c:barChart>
      <c:catAx>
        <c:axId val="69820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8200880"/>
        <c:crosses val="autoZero"/>
        <c:auto val="1"/>
        <c:lblAlgn val="ctr"/>
        <c:lblOffset val="100"/>
        <c:noMultiLvlLbl val="0"/>
      </c:catAx>
      <c:valAx>
        <c:axId val="698200880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820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3910761154855"/>
          <c:y val="3.7615193934091559E-2"/>
          <c:w val="0.26772178477690289"/>
          <c:h val="0.152199620880723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ivil_Data!A1"/><Relationship Id="rId13" Type="http://schemas.openxmlformats.org/officeDocument/2006/relationships/chart" Target="../charts/chart7.xml"/><Relationship Id="rId18" Type="http://schemas.openxmlformats.org/officeDocument/2006/relationships/image" Target="../media/image6.png"/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12" Type="http://schemas.openxmlformats.org/officeDocument/2006/relationships/chart" Target="../charts/chart6.xml"/><Relationship Id="rId17" Type="http://schemas.openxmlformats.org/officeDocument/2006/relationships/image" Target="../media/image5.png"/><Relationship Id="rId2" Type="http://schemas.openxmlformats.org/officeDocument/2006/relationships/chart" Target="../charts/chart2.xml"/><Relationship Id="rId16" Type="http://schemas.openxmlformats.org/officeDocument/2006/relationships/image" Target="../media/image4.png"/><Relationship Id="rId1" Type="http://schemas.openxmlformats.org/officeDocument/2006/relationships/chart" Target="../charts/chart1.xml"/><Relationship Id="rId6" Type="http://schemas.openxmlformats.org/officeDocument/2006/relationships/hyperlink" Target="#Civil_Summary!A1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5" Type="http://schemas.openxmlformats.org/officeDocument/2006/relationships/hyperlink" Target="#Upcoming_Deadline!A1"/><Relationship Id="rId10" Type="http://schemas.openxmlformats.org/officeDocument/2006/relationships/hyperlink" Target="#Civil_Dashboard!A1"/><Relationship Id="rId4" Type="http://schemas.openxmlformats.org/officeDocument/2006/relationships/chart" Target="../charts/chart4.xml"/><Relationship Id="rId9" Type="http://schemas.openxmlformats.org/officeDocument/2006/relationships/image" Target="../media/image2.png"/><Relationship Id="rId1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ivil_Data!A1"/><Relationship Id="rId2" Type="http://schemas.openxmlformats.org/officeDocument/2006/relationships/image" Target="../media/image7.png"/><Relationship Id="rId1" Type="http://schemas.openxmlformats.org/officeDocument/2006/relationships/hyperlink" Target="#Civil_Summary!A1"/><Relationship Id="rId6" Type="http://schemas.openxmlformats.org/officeDocument/2006/relationships/image" Target="../media/image8.png"/><Relationship Id="rId5" Type="http://schemas.openxmlformats.org/officeDocument/2006/relationships/hyperlink" Target="#Civil_Dashboard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image" Target="../media/image1.png"/><Relationship Id="rId7" Type="http://schemas.openxmlformats.org/officeDocument/2006/relationships/image" Target="../media/image9.png"/><Relationship Id="rId12" Type="http://schemas.openxmlformats.org/officeDocument/2006/relationships/chart" Target="../charts/chart14.xml"/><Relationship Id="rId2" Type="http://schemas.openxmlformats.org/officeDocument/2006/relationships/hyperlink" Target="#Civil_Summary!A1"/><Relationship Id="rId16" Type="http://schemas.openxmlformats.org/officeDocument/2006/relationships/chart" Target="../charts/chart18.xml"/><Relationship Id="rId1" Type="http://schemas.openxmlformats.org/officeDocument/2006/relationships/chart" Target="../charts/chart9.xml"/><Relationship Id="rId6" Type="http://schemas.openxmlformats.org/officeDocument/2006/relationships/hyperlink" Target="#Civil_Dashboard!A1"/><Relationship Id="rId11" Type="http://schemas.openxmlformats.org/officeDocument/2006/relationships/chart" Target="../charts/chart13.xml"/><Relationship Id="rId5" Type="http://schemas.openxmlformats.org/officeDocument/2006/relationships/image" Target="../media/image2.png"/><Relationship Id="rId15" Type="http://schemas.openxmlformats.org/officeDocument/2006/relationships/chart" Target="../charts/chart17.xml"/><Relationship Id="rId10" Type="http://schemas.openxmlformats.org/officeDocument/2006/relationships/chart" Target="../charts/chart12.xml"/><Relationship Id="rId4" Type="http://schemas.openxmlformats.org/officeDocument/2006/relationships/hyperlink" Target="#Civil_Data!A1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374431</xdr:colOff>
      <xdr:row>7</xdr:row>
      <xdr:rowOff>115706</xdr:rowOff>
    </xdr:from>
    <xdr:to>
      <xdr:col>8</xdr:col>
      <xdr:colOff>558776</xdr:colOff>
      <xdr:row>17</xdr:row>
      <xdr:rowOff>10706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702AC16F-D08D-C850-F2CA-99073422230F}"/>
            </a:ext>
          </a:extLst>
        </xdr:cNvPr>
        <xdr:cNvSpPr/>
      </xdr:nvSpPr>
      <xdr:spPr>
        <a:xfrm>
          <a:off x="2818086" y="1449206"/>
          <a:ext cx="2628000" cy="1800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ln>
              <a:noFill/>
            </a:ln>
          </a:endParaRPr>
        </a:p>
      </xdr:txBody>
    </xdr:sp>
    <xdr:clientData/>
  </xdr:twoCellAnchor>
  <xdr:twoCellAnchor>
    <xdr:from>
      <xdr:col>4</xdr:col>
      <xdr:colOff>390526</xdr:colOff>
      <xdr:row>7</xdr:row>
      <xdr:rowOff>133350</xdr:rowOff>
    </xdr:from>
    <xdr:to>
      <xdr:col>8</xdr:col>
      <xdr:colOff>533400</xdr:colOff>
      <xdr:row>16</xdr:row>
      <xdr:rowOff>171449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303B015F-DD6B-45E7-9C49-2864436BF6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271904</xdr:colOff>
      <xdr:row>8</xdr:row>
      <xdr:rowOff>121326</xdr:rowOff>
    </xdr:from>
    <xdr:to>
      <xdr:col>8</xdr:col>
      <xdr:colOff>527719</xdr:colOff>
      <xdr:row>9</xdr:row>
      <xdr:rowOff>67442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4019F692-88A0-AF5F-C5EF-3D0A6119FAE7}"/>
            </a:ext>
          </a:extLst>
        </xdr:cNvPr>
        <xdr:cNvSpPr/>
      </xdr:nvSpPr>
      <xdr:spPr>
        <a:xfrm>
          <a:off x="5175208" y="1645326"/>
          <a:ext cx="255815" cy="13661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8</xdr:col>
      <xdr:colOff>188974</xdr:colOff>
      <xdr:row>8</xdr:row>
      <xdr:rowOff>54791</xdr:rowOff>
    </xdr:from>
    <xdr:to>
      <xdr:col>9</xdr:col>
      <xdr:colOff>35108</xdr:colOff>
      <xdr:row>9</xdr:row>
      <xdr:rowOff>128061</xdr:rowOff>
    </xdr:to>
    <xdr:sp macro="" textlink="Civil_Summary!G12">
      <xdr:nvSpPr>
        <xdr:cNvPr id="47" name="Rectangle 46">
          <a:extLst>
            <a:ext uri="{FF2B5EF4-FFF2-40B4-BE49-F238E27FC236}">
              <a16:creationId xmlns:a16="http://schemas.microsoft.com/office/drawing/2014/main" id="{0CE3313D-AE9F-FE2D-0239-F361BFA1ECE1}"/>
            </a:ext>
          </a:extLst>
        </xdr:cNvPr>
        <xdr:cNvSpPr/>
      </xdr:nvSpPr>
      <xdr:spPr>
        <a:xfrm>
          <a:off x="5092278" y="1578791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6FC738B5-8A58-4998-BAFE-DBD7E745FEDB}" type="TxLink">
            <a:rPr lang="en-US" sz="1100" b="0" i="0" u="none" strike="noStrike">
              <a:ln>
                <a:noFill/>
              </a:ln>
              <a:solidFill>
                <a:schemeClr val="bg2"/>
              </a:solidFill>
              <a:latin typeface="Calibri"/>
              <a:ea typeface="+mn-ea"/>
              <a:cs typeface="Calibri"/>
            </a:rPr>
            <a:pPr marL="0" indent="0" algn="l"/>
            <a:t>21</a:t>
          </a:fld>
          <a:endParaRPr lang="en-US" sz="1100" b="0" i="0" u="none" strike="noStrike">
            <a:ln>
              <a:noFill/>
            </a:ln>
            <a:solidFill>
              <a:schemeClr val="bg2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271905</xdr:colOff>
      <xdr:row>7</xdr:row>
      <xdr:rowOff>170856</xdr:rowOff>
    </xdr:from>
    <xdr:to>
      <xdr:col>8</xdr:col>
      <xdr:colOff>473291</xdr:colOff>
      <xdr:row>8</xdr:row>
      <xdr:rowOff>105542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72D09A2-8A4A-D322-A549-4C77AB69B23B}"/>
            </a:ext>
          </a:extLst>
        </xdr:cNvPr>
        <xdr:cNvSpPr/>
      </xdr:nvSpPr>
      <xdr:spPr>
        <a:xfrm>
          <a:off x="5175209" y="1504356"/>
          <a:ext cx="201386" cy="12518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190500</xdr:colOff>
      <xdr:row>7</xdr:row>
      <xdr:rowOff>105124</xdr:rowOff>
    </xdr:from>
    <xdr:to>
      <xdr:col>9</xdr:col>
      <xdr:colOff>36634</xdr:colOff>
      <xdr:row>8</xdr:row>
      <xdr:rowOff>178394</xdr:rowOff>
    </xdr:to>
    <xdr:sp macro="" textlink="Civil_Summary!I12">
      <xdr:nvSpPr>
        <xdr:cNvPr id="46" name="Rectangle 45">
          <a:extLst>
            <a:ext uri="{FF2B5EF4-FFF2-40B4-BE49-F238E27FC236}">
              <a16:creationId xmlns:a16="http://schemas.microsoft.com/office/drawing/2014/main" id="{3D20C446-2146-EF78-F9CD-B341BAB9364B}"/>
            </a:ext>
          </a:extLst>
        </xdr:cNvPr>
        <xdr:cNvSpPr/>
      </xdr:nvSpPr>
      <xdr:spPr>
        <a:xfrm>
          <a:off x="5093804" y="1438624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DE6C12F-56DF-4A87-8B68-A8D66CF9C04C}" type="TxLink">
            <a:rPr lang="en-US" sz="1100" b="0" i="0" u="none" strike="noStrike">
              <a:ln>
                <a:noFill/>
              </a:ln>
              <a:solidFill>
                <a:schemeClr val="bg1"/>
              </a:solidFill>
              <a:latin typeface="Calibri"/>
              <a:cs typeface="Calibri"/>
            </a:rPr>
            <a:pPr algn="l"/>
            <a:t>3</a:t>
          </a:fld>
          <a:endParaRPr lang="en-US" sz="11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374431</xdr:colOff>
      <xdr:row>17</xdr:row>
      <xdr:rowOff>50015</xdr:rowOff>
    </xdr:from>
    <xdr:to>
      <xdr:col>8</xdr:col>
      <xdr:colOff>558776</xdr:colOff>
      <xdr:row>27</xdr:row>
      <xdr:rowOff>7326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617AE96-50BE-DBAF-8DCA-55D66A76FAD4}"/>
            </a:ext>
          </a:extLst>
        </xdr:cNvPr>
        <xdr:cNvSpPr/>
      </xdr:nvSpPr>
      <xdr:spPr>
        <a:xfrm>
          <a:off x="2806969" y="3288515"/>
          <a:ext cx="2616884" cy="1862311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4</xdr:col>
      <xdr:colOff>400050</xdr:colOff>
      <xdr:row>17</xdr:row>
      <xdr:rowOff>66675</xdr:rowOff>
    </xdr:from>
    <xdr:to>
      <xdr:col>8</xdr:col>
      <xdr:colOff>514350</xdr:colOff>
      <xdr:row>26</xdr:row>
      <xdr:rowOff>171450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BBDE0DA8-691F-4FC5-884E-854C2CA999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58616</xdr:colOff>
      <xdr:row>7</xdr:row>
      <xdr:rowOff>109958</xdr:rowOff>
    </xdr:from>
    <xdr:to>
      <xdr:col>4</xdr:col>
      <xdr:colOff>342903</xdr:colOff>
      <xdr:row>27</xdr:row>
      <xdr:rowOff>7327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8AC6B851-EAB6-1A59-4099-EF2A8731E68B}"/>
            </a:ext>
          </a:extLst>
        </xdr:cNvPr>
        <xdr:cNvSpPr/>
      </xdr:nvSpPr>
      <xdr:spPr>
        <a:xfrm>
          <a:off x="671529" y="1443458"/>
          <a:ext cx="2123026" cy="3707369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n>
                <a:noFill/>
              </a:ln>
            </a:rPr>
            <a:t>   </a:t>
          </a:r>
          <a:endParaRPr lang="en-NG" sz="1100">
            <a:ln>
              <a:noFill/>
            </a:ln>
          </a:endParaRPr>
        </a:p>
      </xdr:txBody>
    </xdr:sp>
    <xdr:clientData/>
  </xdr:twoCellAnchor>
  <xdr:twoCellAnchor>
    <xdr:from>
      <xdr:col>0</xdr:col>
      <xdr:colOff>563216</xdr:colOff>
      <xdr:row>7</xdr:row>
      <xdr:rowOff>108428</xdr:rowOff>
    </xdr:from>
    <xdr:to>
      <xdr:col>5</xdr:col>
      <xdr:colOff>281608</xdr:colOff>
      <xdr:row>11</xdr:row>
      <xdr:rowOff>157370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34097F20-AF4D-4758-AB30-E2C6222EEC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601718</xdr:colOff>
      <xdr:row>7</xdr:row>
      <xdr:rowOff>115706</xdr:rowOff>
    </xdr:from>
    <xdr:to>
      <xdr:col>13</xdr:col>
      <xdr:colOff>7327</xdr:colOff>
      <xdr:row>17</xdr:row>
      <xdr:rowOff>10706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8A1C47C-0CA4-08D1-CB71-DC5865FFA316}"/>
            </a:ext>
          </a:extLst>
        </xdr:cNvPr>
        <xdr:cNvSpPr/>
      </xdr:nvSpPr>
      <xdr:spPr>
        <a:xfrm>
          <a:off x="5466795" y="1449206"/>
          <a:ext cx="3516013" cy="1800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9</xdr:col>
      <xdr:colOff>33508</xdr:colOff>
      <xdr:row>7</xdr:row>
      <xdr:rowOff>152046</xdr:rowOff>
    </xdr:from>
    <xdr:to>
      <xdr:col>12</xdr:col>
      <xdr:colOff>1316181</xdr:colOff>
      <xdr:row>16</xdr:row>
      <xdr:rowOff>143763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9100C95E-80BB-48DB-AF54-3267591BF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36634</xdr:colOff>
      <xdr:row>7</xdr:row>
      <xdr:rowOff>117231</xdr:rowOff>
    </xdr:from>
    <xdr:to>
      <xdr:col>17</xdr:col>
      <xdr:colOff>280147</xdr:colOff>
      <xdr:row>26</xdr:row>
      <xdr:rowOff>167712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4F2272F1-78F4-EB74-07D8-BF5C6B040422}"/>
            </a:ext>
          </a:extLst>
        </xdr:cNvPr>
        <xdr:cNvSpPr/>
      </xdr:nvSpPr>
      <xdr:spPr>
        <a:xfrm>
          <a:off x="9874598" y="1450731"/>
          <a:ext cx="2243763" cy="3669981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13</xdr:col>
      <xdr:colOff>65556</xdr:colOff>
      <xdr:row>7</xdr:row>
      <xdr:rowOff>142875</xdr:rowOff>
    </xdr:from>
    <xdr:to>
      <xdr:col>17</xdr:col>
      <xdr:colOff>256054</xdr:colOff>
      <xdr:row>26</xdr:row>
      <xdr:rowOff>145596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84585E2-7237-4698-86A7-7FB5A636058F}"/>
            </a:ext>
          </a:extLst>
        </xdr:cNvPr>
        <xdr:cNvSpPr/>
      </xdr:nvSpPr>
      <xdr:spPr>
        <a:xfrm>
          <a:off x="9837085" y="1476375"/>
          <a:ext cx="2162734" cy="3622221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</xdr:col>
      <xdr:colOff>76200</xdr:colOff>
      <xdr:row>10</xdr:row>
      <xdr:rowOff>133764</xdr:rowOff>
    </xdr:from>
    <xdr:to>
      <xdr:col>4</xdr:col>
      <xdr:colOff>314325</xdr:colOff>
      <xdr:row>16</xdr:row>
      <xdr:rowOff>31506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36F88167-3396-7700-8338-AE14EFA439FD}"/>
            </a:ext>
          </a:extLst>
        </xdr:cNvPr>
        <xdr:cNvSpPr/>
      </xdr:nvSpPr>
      <xdr:spPr>
        <a:xfrm>
          <a:off x="689113" y="2038764"/>
          <a:ext cx="2076864" cy="1040742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552847</xdr:colOff>
      <xdr:row>10</xdr:row>
      <xdr:rowOff>73816</xdr:rowOff>
    </xdr:from>
    <xdr:to>
      <xdr:col>3</xdr:col>
      <xdr:colOff>349890</xdr:colOff>
      <xdr:row>17</xdr:row>
      <xdr:rowOff>12460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ECB2A5E9-2F64-CE39-5167-D3EDD6B56125}"/>
            </a:ext>
          </a:extLst>
        </xdr:cNvPr>
        <xdr:cNvGrpSpPr/>
      </xdr:nvGrpSpPr>
      <xdr:grpSpPr>
        <a:xfrm>
          <a:off x="552847" y="1978816"/>
          <a:ext cx="1634007" cy="1272144"/>
          <a:chOff x="666782" y="2081102"/>
          <a:chExt cx="1247856" cy="977348"/>
        </a:xfrm>
      </xdr:grpSpPr>
      <xdr:graphicFrame macro="">
        <xdr:nvGraphicFramePr>
          <xdr:cNvPr id="44" name="Chart 43">
            <a:extLst>
              <a:ext uri="{FF2B5EF4-FFF2-40B4-BE49-F238E27FC236}">
                <a16:creationId xmlns:a16="http://schemas.microsoft.com/office/drawing/2014/main" id="{E0078CF0-1CAC-4080-955E-1159B36A99CB}"/>
              </a:ext>
            </a:extLst>
          </xdr:cNvPr>
          <xdr:cNvGraphicFramePr>
            <a:graphicFrameLocks/>
          </xdr:cNvGraphicFramePr>
        </xdr:nvGraphicFramePr>
        <xdr:xfrm>
          <a:off x="1049438" y="2081102"/>
          <a:ext cx="865200" cy="9773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41440DD-BCE2-4F21-5617-170F12FDDCC8}"/>
              </a:ext>
            </a:extLst>
          </xdr:cNvPr>
          <xdr:cNvSpPr/>
        </xdr:nvSpPr>
        <xdr:spPr>
          <a:xfrm>
            <a:off x="666782" y="2099207"/>
            <a:ext cx="924201" cy="19706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800" b="1">
                <a:solidFill>
                  <a:schemeClr val="accent1">
                    <a:lumMod val="50000"/>
                  </a:schemeClr>
                </a:solidFill>
              </a:rPr>
              <a:t>Quality Checked</a:t>
            </a:r>
            <a:endParaRPr lang="en-NG" sz="8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7328</xdr:colOff>
      <xdr:row>0</xdr:row>
      <xdr:rowOff>0</xdr:rowOff>
    </xdr:from>
    <xdr:to>
      <xdr:col>1</xdr:col>
      <xdr:colOff>51289</xdr:colOff>
      <xdr:row>30</xdr:row>
      <xdr:rowOff>65942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F20933-EED7-5A6E-5870-11702F47BE5A}"/>
            </a:ext>
          </a:extLst>
        </xdr:cNvPr>
        <xdr:cNvSpPr/>
      </xdr:nvSpPr>
      <xdr:spPr>
        <a:xfrm>
          <a:off x="7328" y="0"/>
          <a:ext cx="652096" cy="5780942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21981</xdr:colOff>
      <xdr:row>8</xdr:row>
      <xdr:rowOff>178638</xdr:rowOff>
    </xdr:from>
    <xdr:to>
      <xdr:col>1</xdr:col>
      <xdr:colOff>38280</xdr:colOff>
      <xdr:row>11</xdr:row>
      <xdr:rowOff>131013</xdr:rowOff>
    </xdr:to>
    <xdr:pic>
      <xdr:nvPicPr>
        <xdr:cNvPr id="11" name="Picture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D07F78C-55E2-6A74-6051-AC72377C1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1" y="1702638"/>
          <a:ext cx="624434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15" name="Picture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804784D-3A77-7675-FA55-AE4D222189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/>
      </xdr:blipFill>
      <xdr:spPr>
        <a:xfrm>
          <a:off x="65942" y="1201615"/>
          <a:ext cx="490905" cy="4542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85725</xdr:colOff>
      <xdr:row>5</xdr:row>
      <xdr:rowOff>97037</xdr:rowOff>
    </xdr:to>
    <xdr:pic>
      <xdr:nvPicPr>
        <xdr:cNvPr id="17" name="Picture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EF94D75-ADA0-08C4-4FBB-A20E3616F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95325" cy="401837"/>
        </a:xfrm>
        <a:prstGeom prst="rect">
          <a:avLst/>
        </a:prstGeom>
      </xdr:spPr>
    </xdr:pic>
    <xdr:clientData/>
  </xdr:twoCellAnchor>
  <xdr:twoCellAnchor>
    <xdr:from>
      <xdr:col>0</xdr:col>
      <xdr:colOff>514351</xdr:colOff>
      <xdr:row>0</xdr:row>
      <xdr:rowOff>9525</xdr:rowOff>
    </xdr:from>
    <xdr:to>
      <xdr:col>21</xdr:col>
      <xdr:colOff>85725</xdr:colOff>
      <xdr:row>3</xdr:row>
      <xdr:rowOff>104775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6A160478-78BA-5931-916E-D1D6E92F3FEE}"/>
            </a:ext>
          </a:extLst>
        </xdr:cNvPr>
        <xdr:cNvSpPr/>
      </xdr:nvSpPr>
      <xdr:spPr>
        <a:xfrm>
          <a:off x="514351" y="9525"/>
          <a:ext cx="12372974" cy="666750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3200">
              <a:solidFill>
                <a:schemeClr val="lt1"/>
              </a:solidFill>
              <a:latin typeface="+mn-lt"/>
              <a:ea typeface="+mn-ea"/>
              <a:cs typeface="+mn-cs"/>
            </a:rPr>
            <a:t>Afiesere Civil -Structures Dashboard</a:t>
          </a:r>
          <a:endParaRPr lang="en-NG" sz="3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71435</xdr:colOff>
      <xdr:row>3</xdr:row>
      <xdr:rowOff>160342</xdr:rowOff>
    </xdr:from>
    <xdr:to>
      <xdr:col>18</xdr:col>
      <xdr:colOff>505561</xdr:colOff>
      <xdr:row>7</xdr:row>
      <xdr:rowOff>53583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6D321786-588E-9ADC-6D69-E2B904E4515D}"/>
            </a:ext>
          </a:extLst>
        </xdr:cNvPr>
        <xdr:cNvSpPr/>
      </xdr:nvSpPr>
      <xdr:spPr>
        <a:xfrm rot="5400000">
          <a:off x="5764558" y="-4350367"/>
          <a:ext cx="655241" cy="10819660"/>
        </a:xfrm>
        <a:prstGeom prst="rect">
          <a:avLst/>
        </a:prstGeom>
        <a:solidFill>
          <a:srgbClr val="F7F7F7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solidFill>
              <a:srgbClr val="FFFFFF"/>
            </a:solidFill>
          </a:endParaRPr>
        </a:p>
      </xdr:txBody>
    </xdr:sp>
    <xdr:clientData/>
  </xdr:twoCellAnchor>
  <xdr:twoCellAnchor>
    <xdr:from>
      <xdr:col>1</xdr:col>
      <xdr:colOff>285749</xdr:colOff>
      <xdr:row>3</xdr:row>
      <xdr:rowOff>51035</xdr:rowOff>
    </xdr:from>
    <xdr:to>
      <xdr:col>4</xdr:col>
      <xdr:colOff>234461</xdr:colOff>
      <xdr:row>7</xdr:row>
      <xdr:rowOff>73269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63E0C87D-A99E-CF05-87F4-36038ED50DC1}"/>
            </a:ext>
          </a:extLst>
        </xdr:cNvPr>
        <xdr:cNvGrpSpPr/>
      </xdr:nvGrpSpPr>
      <xdr:grpSpPr>
        <a:xfrm>
          <a:off x="898070" y="622535"/>
          <a:ext cx="1785677" cy="784234"/>
          <a:chOff x="322385" y="607881"/>
          <a:chExt cx="1773115" cy="784234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A0AB2664-909A-ECB2-EAD7-29D80BA7F5B6}"/>
              </a:ext>
            </a:extLst>
          </xdr:cNvPr>
          <xdr:cNvGrpSpPr/>
        </xdr:nvGrpSpPr>
        <xdr:grpSpPr>
          <a:xfrm>
            <a:off x="322385" y="607881"/>
            <a:ext cx="1773115" cy="732946"/>
            <a:chOff x="322385" y="607881"/>
            <a:chExt cx="1773115" cy="732946"/>
          </a:xfrm>
        </xdr:grpSpPr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0831D120-FFAC-4B46-A967-4B40E3B31A30}"/>
                </a:ext>
              </a:extLst>
            </xdr:cNvPr>
            <xdr:cNvGraphicFramePr>
              <a:graphicFrameLocks/>
            </xdr:cNvGraphicFramePr>
          </xdr:nvGraphicFramePr>
          <xdr:xfrm>
            <a:off x="634011" y="607881"/>
            <a:ext cx="772758" cy="73294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5D6849C8-CDF7-5E35-7BE8-3B69E679CA55}"/>
                </a:ext>
              </a:extLst>
            </xdr:cNvPr>
            <xdr:cNvSpPr/>
          </xdr:nvSpPr>
          <xdr:spPr>
            <a:xfrm>
              <a:off x="322385" y="1040422"/>
              <a:ext cx="1773115" cy="26377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400" b="1">
                  <a:solidFill>
                    <a:srgbClr val="1A2E52"/>
                  </a:solidFill>
                </a:rPr>
                <a:t>Overall Progress</a:t>
              </a:r>
              <a:endParaRPr lang="en-NG" sz="1400" b="1">
                <a:solidFill>
                  <a:srgbClr val="1A2E52"/>
                </a:solidFill>
              </a:endParaRPr>
            </a:p>
          </xdr:txBody>
        </xdr:sp>
      </xdr:grpSp>
      <xdr:sp macro="" textlink="Civil_Summary!F16">
        <xdr:nvSpPr>
          <xdr:cNvPr id="6" name="Rectangle 5">
            <a:extLst>
              <a:ext uri="{FF2B5EF4-FFF2-40B4-BE49-F238E27FC236}">
                <a16:creationId xmlns:a16="http://schemas.microsoft.com/office/drawing/2014/main" id="{73B50FB8-1C52-42E4-A2E5-6C2F78915652}"/>
              </a:ext>
            </a:extLst>
          </xdr:cNvPr>
          <xdr:cNvSpPr/>
        </xdr:nvSpPr>
        <xdr:spPr>
          <a:xfrm>
            <a:off x="681404" y="813037"/>
            <a:ext cx="864577" cy="5790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706A49D1-35ED-43B0-AEBA-A9CF7DFE8E31}" type="TxLink">
              <a:rPr lang="en-US" sz="1100" b="1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 algn="ctr"/>
              <a:t>31%</a:t>
            </a:fld>
            <a:endParaRPr lang="en-NG" sz="2800">
              <a:ln>
                <a:noFill/>
              </a:ln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133797</xdr:colOff>
      <xdr:row>3</xdr:row>
      <xdr:rowOff>164682</xdr:rowOff>
    </xdr:from>
    <xdr:to>
      <xdr:col>5</xdr:col>
      <xdr:colOff>137397</xdr:colOff>
      <xdr:row>7</xdr:row>
      <xdr:rowOff>58353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B70C1C2B-04A3-765F-0108-B407341D0691}"/>
            </a:ext>
          </a:extLst>
        </xdr:cNvPr>
        <xdr:cNvSpPr/>
      </xdr:nvSpPr>
      <xdr:spPr>
        <a:xfrm>
          <a:off x="3174470" y="736182"/>
          <a:ext cx="3600" cy="65567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13</xdr:col>
      <xdr:colOff>186349</xdr:colOff>
      <xdr:row>3</xdr:row>
      <xdr:rowOff>164682</xdr:rowOff>
    </xdr:from>
    <xdr:to>
      <xdr:col>13</xdr:col>
      <xdr:colOff>189949</xdr:colOff>
      <xdr:row>7</xdr:row>
      <xdr:rowOff>58353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7925AF96-3377-4BFB-2DE7-5F724C9FD2D8}"/>
            </a:ext>
          </a:extLst>
        </xdr:cNvPr>
        <xdr:cNvSpPr/>
      </xdr:nvSpPr>
      <xdr:spPr>
        <a:xfrm>
          <a:off x="8128228" y="736182"/>
          <a:ext cx="3600" cy="65567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9</xdr:col>
      <xdr:colOff>137948</xdr:colOff>
      <xdr:row>3</xdr:row>
      <xdr:rowOff>42101</xdr:rowOff>
    </xdr:from>
    <xdr:to>
      <xdr:col>12</xdr:col>
      <xdr:colOff>374431</xdr:colOff>
      <xdr:row>7</xdr:row>
      <xdr:rowOff>157655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8055787-F731-4C5E-B361-035EB36D13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348154</xdr:colOff>
      <xdr:row>3</xdr:row>
      <xdr:rowOff>157655</xdr:rowOff>
    </xdr:from>
    <xdr:to>
      <xdr:col>13</xdr:col>
      <xdr:colOff>177362</xdr:colOff>
      <xdr:row>4</xdr:row>
      <xdr:rowOff>164224</xdr:rowOff>
    </xdr:to>
    <xdr:sp macro="" textlink="Civil_Summary!M16">
      <xdr:nvSpPr>
        <xdr:cNvPr id="25" name="Rectangle 24">
          <a:extLst>
            <a:ext uri="{FF2B5EF4-FFF2-40B4-BE49-F238E27FC236}">
              <a16:creationId xmlns:a16="http://schemas.microsoft.com/office/drawing/2014/main" id="{78460253-7210-9BEE-C703-6F5BE4D2E086}"/>
            </a:ext>
          </a:extLst>
        </xdr:cNvPr>
        <xdr:cNvSpPr/>
      </xdr:nvSpPr>
      <xdr:spPr>
        <a:xfrm>
          <a:off x="7679120" y="729155"/>
          <a:ext cx="440121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4E55369-1CB0-4AB5-B077-9396B4D2B73E}" type="TxLink">
            <a:rPr lang="en-US" sz="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82%</a:t>
          </a:fld>
          <a:endParaRPr lang="en-NG" sz="800" b="1"/>
        </a:p>
      </xdr:txBody>
    </xdr:sp>
    <xdr:clientData/>
  </xdr:twoCellAnchor>
  <xdr:twoCellAnchor>
    <xdr:from>
      <xdr:col>5</xdr:col>
      <xdr:colOff>189677</xdr:colOff>
      <xdr:row>3</xdr:row>
      <xdr:rowOff>147203</xdr:rowOff>
    </xdr:from>
    <xdr:to>
      <xdr:col>9</xdr:col>
      <xdr:colOff>354724</xdr:colOff>
      <xdr:row>7</xdr:row>
      <xdr:rowOff>190498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15346AF6-E6EC-4EDE-A425-28DCE860E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361292</xdr:colOff>
      <xdr:row>5</xdr:row>
      <xdr:rowOff>0</xdr:rowOff>
    </xdr:from>
    <xdr:to>
      <xdr:col>13</xdr:col>
      <xdr:colOff>190500</xdr:colOff>
      <xdr:row>6</xdr:row>
      <xdr:rowOff>6569</xdr:rowOff>
    </xdr:to>
    <xdr:sp macro="" textlink="Civil_Summary!N16">
      <xdr:nvSpPr>
        <xdr:cNvPr id="28" name="Rectangle 27">
          <a:extLst>
            <a:ext uri="{FF2B5EF4-FFF2-40B4-BE49-F238E27FC236}">
              <a16:creationId xmlns:a16="http://schemas.microsoft.com/office/drawing/2014/main" id="{5089EB25-C0B1-AA0E-0196-E514E6432AD5}"/>
            </a:ext>
          </a:extLst>
        </xdr:cNvPr>
        <xdr:cNvSpPr/>
      </xdr:nvSpPr>
      <xdr:spPr>
        <a:xfrm>
          <a:off x="7692258" y="952500"/>
          <a:ext cx="440121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0E826044-8B2D-4473-A289-842EE6DBF3E8}" type="TxLink">
            <a:rPr lang="en-US" sz="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7%</a:t>
          </a:fld>
          <a:endParaRPr lang="en-NG" sz="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361292</xdr:colOff>
      <xdr:row>6</xdr:row>
      <xdr:rowOff>6569</xdr:rowOff>
    </xdr:from>
    <xdr:to>
      <xdr:col>13</xdr:col>
      <xdr:colOff>190500</xdr:colOff>
      <xdr:row>7</xdr:row>
      <xdr:rowOff>13138</xdr:rowOff>
    </xdr:to>
    <xdr:sp macro="" textlink="Civil_Summary!O16">
      <xdr:nvSpPr>
        <xdr:cNvPr id="29" name="Rectangle 28">
          <a:extLst>
            <a:ext uri="{FF2B5EF4-FFF2-40B4-BE49-F238E27FC236}">
              <a16:creationId xmlns:a16="http://schemas.microsoft.com/office/drawing/2014/main" id="{1E0A4E3A-DB04-353E-6650-6B029B989222}"/>
            </a:ext>
          </a:extLst>
        </xdr:cNvPr>
        <xdr:cNvSpPr/>
      </xdr:nvSpPr>
      <xdr:spPr>
        <a:xfrm>
          <a:off x="7692258" y="1149569"/>
          <a:ext cx="440121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4A623A3B-3FEC-4AA7-A849-DE921C4F144B}" type="TxLink">
            <a:rPr lang="en-US" sz="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11%</a:t>
          </a:fld>
          <a:endParaRPr lang="en-NG" sz="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170793</xdr:colOff>
      <xdr:row>3</xdr:row>
      <xdr:rowOff>98533</xdr:rowOff>
    </xdr:from>
    <xdr:to>
      <xdr:col>8</xdr:col>
      <xdr:colOff>394138</xdr:colOff>
      <xdr:row>4</xdr:row>
      <xdr:rowOff>105102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5E907B9-6F45-C15F-9FB0-019548008DDE}"/>
            </a:ext>
          </a:extLst>
        </xdr:cNvPr>
        <xdr:cNvSpPr/>
      </xdr:nvSpPr>
      <xdr:spPr>
        <a:xfrm>
          <a:off x="3225362" y="670033"/>
          <a:ext cx="2056086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Completion </a:t>
          </a:r>
          <a:endParaRPr lang="en-NG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10</xdr:col>
      <xdr:colOff>529334</xdr:colOff>
      <xdr:row>7</xdr:row>
      <xdr:rowOff>125567</xdr:rowOff>
    </xdr:from>
    <xdr:to>
      <xdr:col>12</xdr:col>
      <xdr:colOff>222000</xdr:colOff>
      <xdr:row>8</xdr:row>
      <xdr:rowOff>124558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E9116BD7-6C87-C6D7-C619-0AB02BEDAD3D}"/>
            </a:ext>
          </a:extLst>
        </xdr:cNvPr>
        <xdr:cNvSpPr/>
      </xdr:nvSpPr>
      <xdr:spPr>
        <a:xfrm>
          <a:off x="6652548" y="1459067"/>
          <a:ext cx="2060309" cy="18949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Team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Resource (Hours)</a:t>
          </a:r>
          <a:endParaRPr lang="en-NG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159626</xdr:colOff>
      <xdr:row>3</xdr:row>
      <xdr:rowOff>177362</xdr:rowOff>
    </xdr:from>
    <xdr:to>
      <xdr:col>17</xdr:col>
      <xdr:colOff>275896</xdr:colOff>
      <xdr:row>7</xdr:row>
      <xdr:rowOff>52552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1E95CCB8-9F51-18E2-023C-256A48279198}"/>
            </a:ext>
          </a:extLst>
        </xdr:cNvPr>
        <xdr:cNvSpPr/>
      </xdr:nvSpPr>
      <xdr:spPr>
        <a:xfrm>
          <a:off x="8515350" y="748862"/>
          <a:ext cx="2113236" cy="63719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solidFill>
              <a:schemeClr val="tx2"/>
            </a:solidFill>
          </a:endParaRPr>
        </a:p>
      </xdr:txBody>
    </xdr:sp>
    <xdr:clientData/>
  </xdr:twoCellAnchor>
  <xdr:twoCellAnchor>
    <xdr:from>
      <xdr:col>14</xdr:col>
      <xdr:colOff>29307</xdr:colOff>
      <xdr:row>3</xdr:row>
      <xdr:rowOff>190499</xdr:rowOff>
    </xdr:from>
    <xdr:to>
      <xdr:col>17</xdr:col>
      <xdr:colOff>243050</xdr:colOff>
      <xdr:row>4</xdr:row>
      <xdr:rowOff>177362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3F7C753C-03A6-A5FB-8B6C-389FE0DA4E6B}"/>
            </a:ext>
          </a:extLst>
        </xdr:cNvPr>
        <xdr:cNvSpPr/>
      </xdr:nvSpPr>
      <xdr:spPr>
        <a:xfrm>
          <a:off x="9986595" y="761999"/>
          <a:ext cx="2038147" cy="17736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chemeClr val="accent5">
                  <a:lumMod val="50000"/>
                </a:schemeClr>
              </a:solidFill>
            </a:rPr>
            <a:t>Project</a:t>
          </a:r>
          <a:r>
            <a:rPr lang="en-US" sz="1000" b="1" baseline="0">
              <a:solidFill>
                <a:schemeClr val="accent5">
                  <a:lumMod val="50000"/>
                </a:schemeClr>
              </a:solidFill>
            </a:rPr>
            <a:t>ed End Date</a:t>
          </a:r>
          <a:endParaRPr lang="en-NG" sz="1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14</xdr:col>
      <xdr:colOff>595504</xdr:colOff>
      <xdr:row>4</xdr:row>
      <xdr:rowOff>18190</xdr:rowOff>
    </xdr:from>
    <xdr:to>
      <xdr:col>18</xdr:col>
      <xdr:colOff>118749</xdr:colOff>
      <xdr:row>5</xdr:row>
      <xdr:rowOff>5053</xdr:rowOff>
    </xdr:to>
    <xdr:sp macro="" textlink="Civil_Data!U17">
      <xdr:nvSpPr>
        <xdr:cNvPr id="41" name="Rectangle 40">
          <a:extLst>
            <a:ext uri="{FF2B5EF4-FFF2-40B4-BE49-F238E27FC236}">
              <a16:creationId xmlns:a16="http://schemas.microsoft.com/office/drawing/2014/main" id="{FDA1BBB0-B042-A738-F32E-90D7620D671E}"/>
            </a:ext>
          </a:extLst>
        </xdr:cNvPr>
        <xdr:cNvSpPr/>
      </xdr:nvSpPr>
      <xdr:spPr>
        <a:xfrm>
          <a:off x="9080081" y="780190"/>
          <a:ext cx="1955783" cy="1773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7531ED-617D-4B09-84FA-9A8C2704DB01}" type="TxLink">
            <a:rPr lang="en-US" sz="600" b="0" i="0" u="none" strike="noStrike">
              <a:solidFill>
                <a:schemeClr val="accent1">
                  <a:lumMod val="75000"/>
                </a:schemeClr>
              </a:solidFill>
              <a:latin typeface="Calibri"/>
              <a:cs typeface="Calibri"/>
            </a:rPr>
            <a:pPr algn="ctr"/>
            <a:t>Tuesday, 5 December 2023</a:t>
          </a:fld>
          <a:endParaRPr lang="en-NG" sz="6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4</xdr:col>
      <xdr:colOff>66039</xdr:colOff>
      <xdr:row>17</xdr:row>
      <xdr:rowOff>25103</xdr:rowOff>
    </xdr:from>
    <xdr:to>
      <xdr:col>7</xdr:col>
      <xdr:colOff>289384</xdr:colOff>
      <xdr:row>18</xdr:row>
      <xdr:rowOff>31672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34500DC-0C10-4A16-BDA5-C04A14A72AFA}"/>
            </a:ext>
          </a:extLst>
        </xdr:cNvPr>
        <xdr:cNvSpPr/>
      </xdr:nvSpPr>
      <xdr:spPr>
        <a:xfrm>
          <a:off x="2504439" y="3263603"/>
          <a:ext cx="2052145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5">
                  <a:lumMod val="50000"/>
                </a:schemeClr>
              </a:solidFill>
            </a:rPr>
            <a:t>Team Members</a:t>
          </a:r>
          <a:r>
            <a:rPr lang="en-US" sz="800" b="1" baseline="0">
              <a:solidFill>
                <a:schemeClr val="accent5">
                  <a:lumMod val="50000"/>
                </a:schemeClr>
              </a:solidFill>
            </a:rPr>
            <a:t> </a:t>
          </a:r>
          <a:r>
            <a:rPr lang="en-US" sz="800" b="1">
              <a:solidFill>
                <a:schemeClr val="accent5">
                  <a:lumMod val="50000"/>
                </a:schemeClr>
              </a:solidFill>
            </a:rPr>
            <a:t>Contribution</a:t>
          </a:r>
          <a:endParaRPr lang="en-NG" sz="8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463689</xdr:colOff>
      <xdr:row>7</xdr:row>
      <xdr:rowOff>144516</xdr:rowOff>
    </xdr:from>
    <xdr:to>
      <xdr:col>10</xdr:col>
      <xdr:colOff>293727</xdr:colOff>
      <xdr:row>8</xdr:row>
      <xdr:rowOff>151085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E824E4B4-8304-0FAC-8ED2-8C6E4260E68F}"/>
            </a:ext>
          </a:extLst>
        </xdr:cNvPr>
        <xdr:cNvSpPr/>
      </xdr:nvSpPr>
      <xdr:spPr>
        <a:xfrm>
          <a:off x="2912975" y="1478016"/>
          <a:ext cx="3503966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Completion By Category </a:t>
          </a:r>
          <a:endParaRPr lang="en-NG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157327</xdr:colOff>
      <xdr:row>5</xdr:row>
      <xdr:rowOff>1</xdr:rowOff>
    </xdr:from>
    <xdr:to>
      <xdr:col>17</xdr:col>
      <xdr:colOff>249115</xdr:colOff>
      <xdr:row>7</xdr:row>
      <xdr:rowOff>39414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1925B818-F921-113D-2D02-0327A4F47D4F}"/>
            </a:ext>
          </a:extLst>
        </xdr:cNvPr>
        <xdr:cNvGrpSpPr/>
      </xdr:nvGrpSpPr>
      <xdr:grpSpPr>
        <a:xfrm>
          <a:off x="9995291" y="952501"/>
          <a:ext cx="2092038" cy="420413"/>
          <a:chOff x="8210923" y="952501"/>
          <a:chExt cx="2068653" cy="420413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1F563395-C80A-9DE5-1C3F-58530EC4B23E}"/>
              </a:ext>
            </a:extLst>
          </xdr:cNvPr>
          <xdr:cNvSpPr/>
        </xdr:nvSpPr>
        <xdr:spPr>
          <a:xfrm>
            <a:off x="8854110" y="959069"/>
            <a:ext cx="1425466" cy="40070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ln>
                  <a:noFill/>
                </a:ln>
                <a:solidFill>
                  <a:schemeClr val="accent1">
                    <a:lumMod val="50000"/>
                  </a:schemeClr>
                </a:solidFill>
              </a:rPr>
              <a:t> of            Days</a:t>
            </a:r>
            <a:r>
              <a:rPr lang="en-US" sz="1200" b="1" baseline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</a:rPr>
              <a:t> Left</a:t>
            </a:r>
            <a:endParaRPr lang="en-NG" sz="1200" b="1">
              <a:ln>
                <a:noFill/>
              </a:ln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35E48684-6779-4257-7189-C88099BB4328}"/>
              </a:ext>
            </a:extLst>
          </xdr:cNvPr>
          <xdr:cNvSpPr/>
        </xdr:nvSpPr>
        <xdr:spPr>
          <a:xfrm>
            <a:off x="8210923" y="952501"/>
            <a:ext cx="750859" cy="420413"/>
          </a:xfrm>
          <a:prstGeom prst="rect">
            <a:avLst/>
          </a:prstGeom>
          <a:solidFill>
            <a:srgbClr val="13223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 b="1">
                <a:solidFill>
                  <a:schemeClr val="bg2"/>
                </a:solidFill>
              </a:rPr>
              <a:t>179</a:t>
            </a:r>
          </a:p>
        </xdr:txBody>
      </xdr:sp>
      <xdr:sp macro="" textlink="Civil_Data!U20">
        <xdr:nvSpPr>
          <xdr:cNvPr id="23" name="Rectangle 22">
            <a:extLst>
              <a:ext uri="{FF2B5EF4-FFF2-40B4-BE49-F238E27FC236}">
                <a16:creationId xmlns:a16="http://schemas.microsoft.com/office/drawing/2014/main" id="{80B043D6-6159-ACA0-3A33-5074C8C830F0}"/>
              </a:ext>
            </a:extLst>
          </xdr:cNvPr>
          <xdr:cNvSpPr/>
        </xdr:nvSpPr>
        <xdr:spPr>
          <a:xfrm>
            <a:off x="9094306" y="959068"/>
            <a:ext cx="505237" cy="4007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E8E184A3-6263-46C3-9773-BED3A6267BFE}" type="TxLink">
              <a:rPr lang="en-US" sz="1600" b="1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 algn="l"/>
              <a:t>267</a:t>
            </a:fld>
            <a:endParaRPr lang="en-NG" sz="1600" b="1">
              <a:ln>
                <a:noFill/>
              </a:ln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13</xdr:col>
      <xdr:colOff>225584</xdr:colOff>
      <xdr:row>7</xdr:row>
      <xdr:rowOff>131315</xdr:rowOff>
    </xdr:from>
    <xdr:to>
      <xdr:col>16</xdr:col>
      <xdr:colOff>448929</xdr:colOff>
      <xdr:row>8</xdr:row>
      <xdr:rowOff>137884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1C54412-AAF5-4C18-B1F5-57DC117DC0D8}"/>
            </a:ext>
          </a:extLst>
        </xdr:cNvPr>
        <xdr:cNvSpPr/>
      </xdr:nvSpPr>
      <xdr:spPr>
        <a:xfrm>
          <a:off x="8193454" y="1464815"/>
          <a:ext cx="2062084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chemeClr val="accent1">
                  <a:lumMod val="50000"/>
                </a:schemeClr>
              </a:solidFill>
            </a:rPr>
            <a:t>Project Log </a:t>
          </a:r>
          <a:endParaRPr lang="en-NG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80211</xdr:colOff>
      <xdr:row>16</xdr:row>
      <xdr:rowOff>49979</xdr:rowOff>
    </xdr:from>
    <xdr:to>
      <xdr:col>4</xdr:col>
      <xdr:colOff>320842</xdr:colOff>
      <xdr:row>17</xdr:row>
      <xdr:rowOff>56548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100E4DD8-572C-41EA-B247-2DCB16C57E94}"/>
            </a:ext>
          </a:extLst>
        </xdr:cNvPr>
        <xdr:cNvSpPr/>
      </xdr:nvSpPr>
      <xdr:spPr>
        <a:xfrm>
          <a:off x="693124" y="3097979"/>
          <a:ext cx="2079370" cy="197069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A42020"/>
              </a:solidFill>
            </a:rPr>
            <a:t>Risk</a:t>
          </a:r>
          <a:endParaRPr lang="en-NG" sz="800" b="1">
            <a:solidFill>
              <a:srgbClr val="A42020"/>
            </a:solidFill>
          </a:endParaRPr>
        </a:p>
      </xdr:txBody>
    </xdr:sp>
    <xdr:clientData/>
  </xdr:twoCellAnchor>
  <xdr:twoCellAnchor>
    <xdr:from>
      <xdr:col>8</xdr:col>
      <xdr:colOff>276564</xdr:colOff>
      <xdr:row>17</xdr:row>
      <xdr:rowOff>125985</xdr:rowOff>
    </xdr:from>
    <xdr:to>
      <xdr:col>8</xdr:col>
      <xdr:colOff>477950</xdr:colOff>
      <xdr:row>18</xdr:row>
      <xdr:rowOff>60671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92C45FB7-7F01-55DB-7FC5-1C14A47D1228}"/>
            </a:ext>
          </a:extLst>
        </xdr:cNvPr>
        <xdr:cNvSpPr/>
      </xdr:nvSpPr>
      <xdr:spPr>
        <a:xfrm>
          <a:off x="5179868" y="3364485"/>
          <a:ext cx="201386" cy="12518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8</xdr:col>
      <xdr:colOff>184548</xdr:colOff>
      <xdr:row>17</xdr:row>
      <xdr:rowOff>53876</xdr:rowOff>
    </xdr:from>
    <xdr:to>
      <xdr:col>9</xdr:col>
      <xdr:colOff>30682</xdr:colOff>
      <xdr:row>18</xdr:row>
      <xdr:rowOff>127146</xdr:rowOff>
    </xdr:to>
    <xdr:sp macro="" textlink="Civil_Summary!K12">
      <xdr:nvSpPr>
        <xdr:cNvPr id="51" name="Rectangle 50">
          <a:extLst>
            <a:ext uri="{FF2B5EF4-FFF2-40B4-BE49-F238E27FC236}">
              <a16:creationId xmlns:a16="http://schemas.microsoft.com/office/drawing/2014/main" id="{1C2419B6-DA57-7F0F-A4A3-D6CAFCE7570C}"/>
            </a:ext>
          </a:extLst>
        </xdr:cNvPr>
        <xdr:cNvSpPr/>
      </xdr:nvSpPr>
      <xdr:spPr>
        <a:xfrm>
          <a:off x="5087852" y="3292376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1730D78C-F69D-406C-9ED5-AFA4D8C1E462}" type="TxLink">
            <a:rPr lang="en-US" sz="1100" b="0" i="0" u="none" strike="noStrike">
              <a:ln>
                <a:noFill/>
              </a:ln>
              <a:solidFill>
                <a:schemeClr val="bg2"/>
              </a:solidFill>
              <a:latin typeface="Calibri"/>
              <a:ea typeface="+mn-ea"/>
              <a:cs typeface="Calibri"/>
            </a:rPr>
            <a:pPr marL="0" indent="0" algn="l"/>
            <a:t>4</a:t>
          </a:fld>
          <a:endParaRPr lang="en-US" sz="1100" b="0" i="0" u="none" strike="noStrike">
            <a:ln>
              <a:noFill/>
            </a:ln>
            <a:solidFill>
              <a:schemeClr val="bg2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276564</xdr:colOff>
      <xdr:row>18</xdr:row>
      <xdr:rowOff>88193</xdr:rowOff>
    </xdr:from>
    <xdr:to>
      <xdr:col>8</xdr:col>
      <xdr:colOff>477950</xdr:colOff>
      <xdr:row>19</xdr:row>
      <xdr:rowOff>22879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9C9D3F4-646F-C2BE-FBBD-DF7179B78116}"/>
            </a:ext>
          </a:extLst>
        </xdr:cNvPr>
        <xdr:cNvSpPr/>
      </xdr:nvSpPr>
      <xdr:spPr>
        <a:xfrm>
          <a:off x="5179868" y="3517193"/>
          <a:ext cx="201386" cy="12518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8</xdr:col>
      <xdr:colOff>184548</xdr:colOff>
      <xdr:row>18</xdr:row>
      <xdr:rowOff>10131</xdr:rowOff>
    </xdr:from>
    <xdr:to>
      <xdr:col>9</xdr:col>
      <xdr:colOff>30682</xdr:colOff>
      <xdr:row>19</xdr:row>
      <xdr:rowOff>83401</xdr:rowOff>
    </xdr:to>
    <xdr:sp macro="" textlink="Civil_Summary!J12">
      <xdr:nvSpPr>
        <xdr:cNvPr id="54" name="Rectangle 53">
          <a:extLst>
            <a:ext uri="{FF2B5EF4-FFF2-40B4-BE49-F238E27FC236}">
              <a16:creationId xmlns:a16="http://schemas.microsoft.com/office/drawing/2014/main" id="{456D4A73-F252-E8EC-9B9D-9F0294E32D68}"/>
            </a:ext>
          </a:extLst>
        </xdr:cNvPr>
        <xdr:cNvSpPr/>
      </xdr:nvSpPr>
      <xdr:spPr>
        <a:xfrm>
          <a:off x="5087852" y="3439131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7A2A5393-1621-4316-9648-7CC6600AE639}" type="TxLink">
            <a:rPr lang="en-US" sz="1100" b="0" i="0" u="none" strike="noStrike">
              <a:ln>
                <a:noFill/>
              </a:ln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l"/>
            <a:t>93</a:t>
          </a:fld>
          <a:endParaRPr lang="en-US" sz="1100" b="0" i="0" u="none" strike="noStrike">
            <a:ln>
              <a:noFill/>
            </a:ln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7326</xdr:colOff>
      <xdr:row>17</xdr:row>
      <xdr:rowOff>0</xdr:rowOff>
    </xdr:from>
    <xdr:to>
      <xdr:col>10</xdr:col>
      <xdr:colOff>753718</xdr:colOff>
      <xdr:row>18</xdr:row>
      <xdr:rowOff>14654</xdr:rowOff>
    </xdr:to>
    <xdr:sp macro="" textlink="Upcoming_Deadline!J2">
      <xdr:nvSpPr>
        <xdr:cNvPr id="5" name="Rectangle 4">
          <a:extLst>
            <a:ext uri="{FF2B5EF4-FFF2-40B4-BE49-F238E27FC236}">
              <a16:creationId xmlns:a16="http://schemas.microsoft.com/office/drawing/2014/main" id="{D464C962-87DE-A782-391D-6FC7F6E149BA}"/>
            </a:ext>
          </a:extLst>
        </xdr:cNvPr>
        <xdr:cNvSpPr/>
      </xdr:nvSpPr>
      <xdr:spPr>
        <a:xfrm>
          <a:off x="5523543" y="3238500"/>
          <a:ext cx="1359305" cy="20515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A0611FA-3FC5-49CA-9525-43D3C1AABA77}" type="TxLink">
            <a:rPr lang="en-US" sz="1100" b="0" i="0" u="none" strike="noStrike">
              <a:solidFill>
                <a:schemeClr val="bg2"/>
              </a:solidFill>
              <a:latin typeface="Calibri"/>
              <a:cs typeface="Calibri"/>
            </a:rPr>
            <a:pPr algn="l"/>
            <a:t>Friday, 30 June 2023</a:t>
          </a:fld>
          <a:endParaRPr lang="en-NG" sz="1100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13</xdr:col>
      <xdr:colOff>7326</xdr:colOff>
      <xdr:row>27</xdr:row>
      <xdr:rowOff>14654</xdr:rowOff>
    </xdr:to>
    <xdr:sp macro="" textlink="Upcoming_Deadline!J2">
      <xdr:nvSpPr>
        <xdr:cNvPr id="7" name="Rectangle 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E61F0E2-D3CC-146B-AC4B-C3BC59C7DA9F}"/>
            </a:ext>
          </a:extLst>
        </xdr:cNvPr>
        <xdr:cNvSpPr/>
      </xdr:nvSpPr>
      <xdr:spPr>
        <a:xfrm>
          <a:off x="5473212" y="4953000"/>
          <a:ext cx="2857499" cy="20515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/>
              </a:solidFill>
            </a:rPr>
            <a:t>Click Here For</a:t>
          </a:r>
          <a:r>
            <a:rPr lang="en-US" sz="1100" baseline="0">
              <a:solidFill>
                <a:schemeClr val="bg2"/>
              </a:solidFill>
            </a:rPr>
            <a:t> More Info on Due tasks</a:t>
          </a:r>
          <a:endParaRPr lang="en-NG" sz="1100">
            <a:solidFill>
              <a:schemeClr val="bg2"/>
            </a:solidFill>
          </a:endParaRPr>
        </a:p>
      </xdr:txBody>
    </xdr:sp>
    <xdr:clientData/>
  </xdr:twoCellAnchor>
  <xdr:twoCellAnchor>
    <xdr:from>
      <xdr:col>10</xdr:col>
      <xdr:colOff>737152</xdr:colOff>
      <xdr:row>17</xdr:row>
      <xdr:rowOff>8283</xdr:rowOff>
    </xdr:from>
    <xdr:to>
      <xdr:col>13</xdr:col>
      <xdr:colOff>24848</xdr:colOff>
      <xdr:row>18</xdr:row>
      <xdr:rowOff>3789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27646619-986C-3279-167C-7E121DE67BA4}"/>
            </a:ext>
          </a:extLst>
        </xdr:cNvPr>
        <xdr:cNvSpPr/>
      </xdr:nvSpPr>
      <xdr:spPr>
        <a:xfrm>
          <a:off x="6866282" y="3246783"/>
          <a:ext cx="3006588" cy="18600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accent1">
                  <a:lumMod val="50000"/>
                </a:schemeClr>
              </a:solidFill>
            </a:rPr>
            <a:t>Due</a:t>
          </a:r>
          <a:r>
            <a:rPr lang="en-US" sz="1100" b="1" baseline="0">
              <a:solidFill>
                <a:schemeClr val="accent1">
                  <a:lumMod val="50000"/>
                </a:schemeClr>
              </a:solidFill>
            </a:rPr>
            <a:t> Task</a:t>
          </a:r>
          <a:endParaRPr lang="en-NG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197827</xdr:colOff>
      <xdr:row>7</xdr:row>
      <xdr:rowOff>21981</xdr:rowOff>
    </xdr:from>
    <xdr:to>
      <xdr:col>3</xdr:col>
      <xdr:colOff>402981</xdr:colOff>
      <xdr:row>8</xdr:row>
      <xdr:rowOff>161192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26AF7717-22B8-1550-EF13-4AF3A099B99A}"/>
            </a:ext>
          </a:extLst>
        </xdr:cNvPr>
        <xdr:cNvSpPr/>
      </xdr:nvSpPr>
      <xdr:spPr>
        <a:xfrm>
          <a:off x="805962" y="1355481"/>
          <a:ext cx="1421423" cy="32971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 i="0" u="none" strike="noStrike">
              <a:solidFill>
                <a:schemeClr val="bg1"/>
              </a:solidFill>
              <a:latin typeface="Calibri"/>
              <a:cs typeface="Calibri"/>
            </a:rPr>
            <a:t>Resurce</a:t>
          </a:r>
          <a:r>
            <a:rPr lang="en-US" sz="1000" b="0" i="0" u="none" strike="noStrike" baseline="0">
              <a:solidFill>
                <a:schemeClr val="bg1"/>
              </a:solidFill>
              <a:latin typeface="Calibri"/>
              <a:cs typeface="Calibri"/>
            </a:rPr>
            <a:t> Utilization</a:t>
          </a:r>
          <a:endParaRPr lang="en-US" sz="1000" b="0" i="0" u="none" strike="noStrike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80213</xdr:colOff>
      <xdr:row>17</xdr:row>
      <xdr:rowOff>88494</xdr:rowOff>
    </xdr:from>
    <xdr:to>
      <xdr:col>1</xdr:col>
      <xdr:colOff>505239</xdr:colOff>
      <xdr:row>18</xdr:row>
      <xdr:rowOff>148651</xdr:rowOff>
    </xdr:to>
    <xdr:sp macro="" textlink="Civil_Summary!O32">
      <xdr:nvSpPr>
        <xdr:cNvPr id="59" name="Rectangle 58">
          <a:extLst>
            <a:ext uri="{FF2B5EF4-FFF2-40B4-BE49-F238E27FC236}">
              <a16:creationId xmlns:a16="http://schemas.microsoft.com/office/drawing/2014/main" id="{09A4B0FF-8680-F701-4C56-73DDE503ACEA}"/>
            </a:ext>
          </a:extLst>
        </xdr:cNvPr>
        <xdr:cNvSpPr/>
      </xdr:nvSpPr>
      <xdr:spPr>
        <a:xfrm>
          <a:off x="693126" y="3326994"/>
          <a:ext cx="425026" cy="250657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2ED2D62E-54B6-4A37-96A0-84767F29C107}" type="TxLink">
            <a:rPr lang="en-US" sz="900" b="0" i="0" u="none" strike="noStrike">
              <a:solidFill>
                <a:srgbClr val="FFFF00"/>
              </a:solidFill>
              <a:latin typeface="Calibri"/>
              <a:ea typeface="+mn-ea"/>
              <a:cs typeface="Calibri"/>
            </a:rPr>
            <a:pPr marL="0" indent="0" algn="l"/>
            <a:t>-96%</a:t>
          </a:fld>
          <a:endParaRPr lang="en-NG" sz="900" b="0" i="0" u="none" strike="noStrike">
            <a:solidFill>
              <a:srgbClr val="FFFF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529829</xdr:colOff>
      <xdr:row>17</xdr:row>
      <xdr:rowOff>88494</xdr:rowOff>
    </xdr:from>
    <xdr:to>
      <xdr:col>4</xdr:col>
      <xdr:colOff>315829</xdr:colOff>
      <xdr:row>18</xdr:row>
      <xdr:rowOff>148652</xdr:rowOff>
    </xdr:to>
    <xdr:sp macro="" textlink="Upcoming_Deadline!B2">
      <xdr:nvSpPr>
        <xdr:cNvPr id="62" name="Rectangle 61">
          <a:extLst>
            <a:ext uri="{FF2B5EF4-FFF2-40B4-BE49-F238E27FC236}">
              <a16:creationId xmlns:a16="http://schemas.microsoft.com/office/drawing/2014/main" id="{2A06AA40-BB47-6FA2-9973-9096DD776CAC}"/>
            </a:ext>
          </a:extLst>
        </xdr:cNvPr>
        <xdr:cNvSpPr/>
      </xdr:nvSpPr>
      <xdr:spPr>
        <a:xfrm>
          <a:off x="1137048" y="3326994"/>
          <a:ext cx="1607656" cy="250658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900" b="0" i="0" u="none" strike="noStrike">
              <a:solidFill>
                <a:srgbClr val="FFFF00"/>
              </a:solidFill>
              <a:latin typeface="Calibri"/>
              <a:ea typeface="+mn-ea"/>
              <a:cs typeface="Calibri"/>
            </a:rPr>
            <a:t>Resource</a:t>
          </a:r>
          <a:r>
            <a:rPr lang="en-US" sz="900" b="0" i="0" u="none" strike="noStrike" baseline="0">
              <a:solidFill>
                <a:srgbClr val="FFFF00"/>
              </a:solidFill>
              <a:latin typeface="Calibri"/>
              <a:ea typeface="+mn-ea"/>
              <a:cs typeface="Calibri"/>
            </a:rPr>
            <a:t> Utilization</a:t>
          </a:r>
          <a:endParaRPr lang="en-NG" sz="900" b="0" i="0" u="none" strike="noStrike">
            <a:solidFill>
              <a:srgbClr val="FFFF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80211</xdr:colOff>
      <xdr:row>18</xdr:row>
      <xdr:rowOff>171320</xdr:rowOff>
    </xdr:from>
    <xdr:to>
      <xdr:col>1</xdr:col>
      <xdr:colOff>406066</xdr:colOff>
      <xdr:row>20</xdr:row>
      <xdr:rowOff>40977</xdr:rowOff>
    </xdr:to>
    <xdr:sp macro="" textlink="Upcoming_Deadline!B2">
      <xdr:nvSpPr>
        <xdr:cNvPr id="63" name="Rectangle 62">
          <a:extLst>
            <a:ext uri="{FF2B5EF4-FFF2-40B4-BE49-F238E27FC236}">
              <a16:creationId xmlns:a16="http://schemas.microsoft.com/office/drawing/2014/main" id="{A25C2860-26F7-951F-1142-AD9C409BDAAE}"/>
            </a:ext>
          </a:extLst>
        </xdr:cNvPr>
        <xdr:cNvSpPr/>
      </xdr:nvSpPr>
      <xdr:spPr>
        <a:xfrm>
          <a:off x="693124" y="3600320"/>
          <a:ext cx="325855" cy="25065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BE21F190-3340-43CF-9A6D-3CB945D6178A}" type="TxLink">
            <a:rPr lang="en-US" sz="900" b="0" i="0" u="none" strike="noStrike">
              <a:solidFill>
                <a:schemeClr val="accent4">
                  <a:lumMod val="50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0</a:t>
          </a:fld>
          <a:endParaRPr lang="en-NG" sz="900" b="0" i="0" u="none" strike="noStrike">
            <a:solidFill>
              <a:schemeClr val="accent4">
                <a:lumMod val="5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426119</xdr:colOff>
      <xdr:row>18</xdr:row>
      <xdr:rowOff>171320</xdr:rowOff>
    </xdr:from>
    <xdr:to>
      <xdr:col>4</xdr:col>
      <xdr:colOff>315829</xdr:colOff>
      <xdr:row>20</xdr:row>
      <xdr:rowOff>40978</xdr:rowOff>
    </xdr:to>
    <xdr:sp macro="" textlink="Upcoming_Deadline!B2">
      <xdr:nvSpPr>
        <xdr:cNvPr id="65" name="Rectangle 64">
          <a:extLst>
            <a:ext uri="{FF2B5EF4-FFF2-40B4-BE49-F238E27FC236}">
              <a16:creationId xmlns:a16="http://schemas.microsoft.com/office/drawing/2014/main" id="{16ACF94A-F625-8457-2216-6E333A219203}"/>
            </a:ext>
          </a:extLst>
        </xdr:cNvPr>
        <xdr:cNvSpPr/>
      </xdr:nvSpPr>
      <xdr:spPr>
        <a:xfrm>
          <a:off x="1039032" y="3600320"/>
          <a:ext cx="1728449" cy="25065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900" b="0" i="0" u="none" strike="noStrike">
              <a:solidFill>
                <a:schemeClr val="accent4">
                  <a:lumMod val="50000"/>
                </a:schemeClr>
              </a:solidFill>
              <a:latin typeface="Calibri"/>
              <a:ea typeface="+mn-ea"/>
              <a:cs typeface="Calibri"/>
            </a:rPr>
            <a:t>OverDue Tasks (Moderate Risk )</a:t>
          </a:r>
          <a:endParaRPr lang="en-NG" sz="900" b="0" i="0" u="none" strike="noStrike">
            <a:solidFill>
              <a:schemeClr val="accent4">
                <a:lumMod val="5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80211</xdr:colOff>
      <xdr:row>20</xdr:row>
      <xdr:rowOff>55363</xdr:rowOff>
    </xdr:from>
    <xdr:to>
      <xdr:col>1</xdr:col>
      <xdr:colOff>406066</xdr:colOff>
      <xdr:row>21</xdr:row>
      <xdr:rowOff>115520</xdr:rowOff>
    </xdr:to>
    <xdr:sp macro="" textlink="Upcoming_Deadline!B3">
      <xdr:nvSpPr>
        <xdr:cNvPr id="66" name="Rectangle 65">
          <a:extLst>
            <a:ext uri="{FF2B5EF4-FFF2-40B4-BE49-F238E27FC236}">
              <a16:creationId xmlns:a16="http://schemas.microsoft.com/office/drawing/2014/main" id="{80A2B595-04ED-7452-03FC-7532D18423BD}"/>
            </a:ext>
          </a:extLst>
        </xdr:cNvPr>
        <xdr:cNvSpPr/>
      </xdr:nvSpPr>
      <xdr:spPr>
        <a:xfrm>
          <a:off x="693124" y="3865363"/>
          <a:ext cx="325855" cy="250657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AA6B5A53-A43B-46E2-AB20-4C19778D944F}" type="TxLink">
            <a:rPr lang="en-US" sz="900" b="0" i="0" u="none" strike="noStrike">
              <a:solidFill>
                <a:srgbClr val="FF9966"/>
              </a:solidFill>
              <a:latin typeface="Calibri"/>
              <a:ea typeface="+mn-ea"/>
              <a:cs typeface="Calibri"/>
            </a:rPr>
            <a:pPr marL="0" indent="0" algn="l"/>
            <a:t>2</a:t>
          </a:fld>
          <a:endParaRPr lang="en-NG" sz="900" b="0" i="0" u="none" strike="noStrike">
            <a:solidFill>
              <a:srgbClr val="FF99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426119</xdr:colOff>
      <xdr:row>20</xdr:row>
      <xdr:rowOff>55363</xdr:rowOff>
    </xdr:from>
    <xdr:to>
      <xdr:col>4</xdr:col>
      <xdr:colOff>315829</xdr:colOff>
      <xdr:row>21</xdr:row>
      <xdr:rowOff>115521</xdr:rowOff>
    </xdr:to>
    <xdr:sp macro="" textlink="Upcoming_Deadline!B2">
      <xdr:nvSpPr>
        <xdr:cNvPr id="67" name="Rectangle 66">
          <a:extLst>
            <a:ext uri="{FF2B5EF4-FFF2-40B4-BE49-F238E27FC236}">
              <a16:creationId xmlns:a16="http://schemas.microsoft.com/office/drawing/2014/main" id="{DC234968-2642-D4D1-92A7-09D21D7A5ABE}"/>
            </a:ext>
          </a:extLst>
        </xdr:cNvPr>
        <xdr:cNvSpPr/>
      </xdr:nvSpPr>
      <xdr:spPr>
        <a:xfrm>
          <a:off x="1039032" y="3865363"/>
          <a:ext cx="1728449" cy="250658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900" b="0" i="0" u="none" strike="noStrike">
              <a:solidFill>
                <a:srgbClr val="FF9966"/>
              </a:solidFill>
              <a:latin typeface="Calibri"/>
              <a:ea typeface="+mn-ea"/>
              <a:cs typeface="Calibri"/>
            </a:rPr>
            <a:t>OverDue Tasks (High Risk )</a:t>
          </a:r>
          <a:endParaRPr lang="en-NG" sz="900" b="0" i="0" u="none" strike="noStrike">
            <a:solidFill>
              <a:srgbClr val="FF99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82827</xdr:colOff>
      <xdr:row>21</xdr:row>
      <xdr:rowOff>138188</xdr:rowOff>
    </xdr:from>
    <xdr:to>
      <xdr:col>4</xdr:col>
      <xdr:colOff>315830</xdr:colOff>
      <xdr:row>26</xdr:row>
      <xdr:rowOff>182217</xdr:rowOff>
    </xdr:to>
    <xdr:sp macro="" textlink="Upcoming_Deadline!B2">
      <xdr:nvSpPr>
        <xdr:cNvPr id="69" name="Rectangle 68">
          <a:extLst>
            <a:ext uri="{FF2B5EF4-FFF2-40B4-BE49-F238E27FC236}">
              <a16:creationId xmlns:a16="http://schemas.microsoft.com/office/drawing/2014/main" id="{EAA1C026-6AE7-B0D6-5507-35067D284DD0}"/>
            </a:ext>
          </a:extLst>
        </xdr:cNvPr>
        <xdr:cNvSpPr/>
      </xdr:nvSpPr>
      <xdr:spPr>
        <a:xfrm>
          <a:off x="692427" y="4138688"/>
          <a:ext cx="2061803" cy="99652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Project</a:t>
          </a:r>
          <a:r>
            <a:rPr lang="en-US" sz="1100" b="1" i="0" u="none" strike="noStrike" baseline="0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 Summary</a:t>
          </a:r>
        </a:p>
        <a:p>
          <a:pPr algn="ctr"/>
          <a:endParaRPr lang="en-US" sz="1100" b="1" i="0" u="none" strike="noStrike" baseline="0">
            <a:solidFill>
              <a:schemeClr val="accent1">
                <a:lumMod val="50000"/>
              </a:schemeClr>
            </a:solidFill>
            <a:latin typeface="+mn-lt"/>
            <a:cs typeface="+mn-cs"/>
          </a:endParaRP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Start Date : </a:t>
          </a: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End Date :</a:t>
          </a: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Team Lead:</a:t>
          </a: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Over-all Status : </a:t>
          </a:r>
        </a:p>
        <a:p>
          <a:pPr algn="l"/>
          <a:r>
            <a:rPr lang="en-US" sz="1100" b="1" i="0" u="none" strike="noStrike" baseline="0">
              <a:solidFill>
                <a:sysClr val="windowText" lastClr="000000"/>
              </a:solidFill>
              <a:latin typeface="+mn-lt"/>
              <a:cs typeface="+mn-cs"/>
            </a:rPr>
            <a:t> </a:t>
          </a:r>
          <a:endParaRPr lang="en-US" sz="1100" b="1" i="0" u="none" strike="noStrike" baseline="0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171450</xdr:colOff>
      <xdr:row>23</xdr:row>
      <xdr:rowOff>152400</xdr:rowOff>
    </xdr:from>
    <xdr:to>
      <xdr:col>4</xdr:col>
      <xdr:colOff>266700</xdr:colOff>
      <xdr:row>24</xdr:row>
      <xdr:rowOff>114300</xdr:rowOff>
    </xdr:to>
    <xdr:sp macro="" textlink="Civil_Data!U15">
      <xdr:nvSpPr>
        <xdr:cNvPr id="70" name="Rectangle 69">
          <a:extLst>
            <a:ext uri="{FF2B5EF4-FFF2-40B4-BE49-F238E27FC236}">
              <a16:creationId xmlns:a16="http://schemas.microsoft.com/office/drawing/2014/main" id="{16036AE0-B465-6976-324C-395B537AD9A1}"/>
            </a:ext>
          </a:extLst>
        </xdr:cNvPr>
        <xdr:cNvSpPr/>
      </xdr:nvSpPr>
      <xdr:spPr>
        <a:xfrm>
          <a:off x="1390650" y="4533900"/>
          <a:ext cx="1314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3C0DA72-494B-484B-9A11-560329A9F072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Monday, 13 March 2023</a:t>
          </a:fld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171450</xdr:colOff>
      <xdr:row>24</xdr:row>
      <xdr:rowOff>104775</xdr:rowOff>
    </xdr:from>
    <xdr:to>
      <xdr:col>4</xdr:col>
      <xdr:colOff>266700</xdr:colOff>
      <xdr:row>25</xdr:row>
      <xdr:rowOff>66675</xdr:rowOff>
    </xdr:to>
    <xdr:sp macro="" textlink="Civil_Data!U17">
      <xdr:nvSpPr>
        <xdr:cNvPr id="71" name="Rectangle 70">
          <a:extLst>
            <a:ext uri="{FF2B5EF4-FFF2-40B4-BE49-F238E27FC236}">
              <a16:creationId xmlns:a16="http://schemas.microsoft.com/office/drawing/2014/main" id="{7A5F5F84-4671-580C-6E6D-C56320E04D17}"/>
            </a:ext>
          </a:extLst>
        </xdr:cNvPr>
        <xdr:cNvSpPr/>
      </xdr:nvSpPr>
      <xdr:spPr>
        <a:xfrm>
          <a:off x="1390650" y="4676775"/>
          <a:ext cx="1314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33B3B6C-DAFF-4D7D-9284-B730DC65D761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Tuesday, 5 December 2023</a:t>
          </a:fld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171450</xdr:colOff>
      <xdr:row>25</xdr:row>
      <xdr:rowOff>47625</xdr:rowOff>
    </xdr:from>
    <xdr:to>
      <xdr:col>4</xdr:col>
      <xdr:colOff>266700</xdr:colOff>
      <xdr:row>26</xdr:row>
      <xdr:rowOff>9525</xdr:rowOff>
    </xdr:to>
    <xdr:sp macro="" textlink="Civil_Data!U15">
      <xdr:nvSpPr>
        <xdr:cNvPr id="72" name="Rectangle 71">
          <a:extLst>
            <a:ext uri="{FF2B5EF4-FFF2-40B4-BE49-F238E27FC236}">
              <a16:creationId xmlns:a16="http://schemas.microsoft.com/office/drawing/2014/main" id="{E1FC4A66-A322-5616-95B9-9C9EF65DEBC5}"/>
            </a:ext>
          </a:extLst>
        </xdr:cNvPr>
        <xdr:cNvSpPr/>
      </xdr:nvSpPr>
      <xdr:spPr>
        <a:xfrm>
          <a:off x="1390650" y="4810125"/>
          <a:ext cx="1314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t>Olatunji</a:t>
          </a:r>
          <a:r>
            <a:rPr lang="en-US" sz="8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t> Jola</a:t>
          </a:r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390525</xdr:colOff>
      <xdr:row>26</xdr:row>
      <xdr:rowOff>0</xdr:rowOff>
    </xdr:from>
    <xdr:to>
      <xdr:col>4</xdr:col>
      <xdr:colOff>251325</xdr:colOff>
      <xdr:row>26</xdr:row>
      <xdr:rowOff>152400</xdr:rowOff>
    </xdr:to>
    <xdr:sp macro="" textlink="Civil_Data!U17">
      <xdr:nvSpPr>
        <xdr:cNvPr id="73" name="Rectangle 72">
          <a:extLst>
            <a:ext uri="{FF2B5EF4-FFF2-40B4-BE49-F238E27FC236}">
              <a16:creationId xmlns:a16="http://schemas.microsoft.com/office/drawing/2014/main" id="{45C3F59C-BE80-BBBE-2E15-D279E9ACFE4E}"/>
            </a:ext>
          </a:extLst>
        </xdr:cNvPr>
        <xdr:cNvSpPr/>
      </xdr:nvSpPr>
      <xdr:spPr>
        <a:xfrm>
          <a:off x="1609725" y="4953000"/>
          <a:ext cx="108000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276225</xdr:colOff>
      <xdr:row>25</xdr:row>
      <xdr:rowOff>180975</xdr:rowOff>
    </xdr:from>
    <xdr:to>
      <xdr:col>4</xdr:col>
      <xdr:colOff>137025</xdr:colOff>
      <xdr:row>26</xdr:row>
      <xdr:rowOff>142875</xdr:rowOff>
    </xdr:to>
    <xdr:sp macro="" textlink="Civil_Data!U22">
      <xdr:nvSpPr>
        <xdr:cNvPr id="74" name="Rectangle 73">
          <a:extLst>
            <a:ext uri="{FF2B5EF4-FFF2-40B4-BE49-F238E27FC236}">
              <a16:creationId xmlns:a16="http://schemas.microsoft.com/office/drawing/2014/main" id="{4F85E5CA-FDB5-F1AE-7AFC-D87E9644BB32}"/>
            </a:ext>
          </a:extLst>
        </xdr:cNvPr>
        <xdr:cNvSpPr/>
      </xdr:nvSpPr>
      <xdr:spPr>
        <a:xfrm>
          <a:off x="1495425" y="4943475"/>
          <a:ext cx="108000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6DD91C88-06BA-4F8D-A1F5-FBAB3FAA9407}" type="TxLink">
            <a:rPr lang="en-US" sz="9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In-time</a:t>
          </a:fld>
          <a:endParaRPr lang="en-NG" sz="9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13</xdr:col>
      <xdr:colOff>95252</xdr:colOff>
      <xdr:row>13</xdr:row>
      <xdr:rowOff>190485</xdr:rowOff>
    </xdr:from>
    <xdr:to>
      <xdr:col>14</xdr:col>
      <xdr:colOff>133350</xdr:colOff>
      <xdr:row>15</xdr:row>
      <xdr:rowOff>9345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606A2A52-4DDE-00FC-A526-C2878E53D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2" y="2666985"/>
          <a:ext cx="200023" cy="199860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28576</xdr:colOff>
      <xdr:row>10</xdr:row>
      <xdr:rowOff>57150</xdr:rowOff>
    </xdr:from>
    <xdr:to>
      <xdr:col>14</xdr:col>
      <xdr:colOff>190500</xdr:colOff>
      <xdr:row>11</xdr:row>
      <xdr:rowOff>190499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1A81C167-E426-BF79-8C33-4C768CD36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9326" y="1962150"/>
          <a:ext cx="323849" cy="323849"/>
        </a:xfrm>
        <a:prstGeom prst="rect">
          <a:avLst/>
        </a:prstGeom>
      </xdr:spPr>
    </xdr:pic>
    <xdr:clientData/>
  </xdr:twoCellAnchor>
  <xdr:twoCellAnchor editAs="oneCell">
    <xdr:from>
      <xdr:col>13</xdr:col>
      <xdr:colOff>89648</xdr:colOff>
      <xdr:row>18</xdr:row>
      <xdr:rowOff>155039</xdr:rowOff>
    </xdr:from>
    <xdr:to>
      <xdr:col>14</xdr:col>
      <xdr:colOff>212911</xdr:colOff>
      <xdr:row>20</xdr:row>
      <xdr:rowOff>56028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543E41FF-55C3-02F7-FC3A-26BEECC29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1177" y="3584039"/>
          <a:ext cx="280146" cy="281989"/>
        </a:xfrm>
        <a:prstGeom prst="rect">
          <a:avLst/>
        </a:prstGeom>
      </xdr:spPr>
    </xdr:pic>
    <xdr:clientData/>
  </xdr:twoCellAnchor>
  <xdr:twoCellAnchor>
    <xdr:from>
      <xdr:col>14</xdr:col>
      <xdr:colOff>22409</xdr:colOff>
      <xdr:row>11</xdr:row>
      <xdr:rowOff>134470</xdr:rowOff>
    </xdr:from>
    <xdr:to>
      <xdr:col>14</xdr:col>
      <xdr:colOff>26009</xdr:colOff>
      <xdr:row>13</xdr:row>
      <xdr:rowOff>168088</xdr:rowOff>
    </xdr:to>
    <xdr:sp macro="" textlink="">
      <xdr:nvSpPr>
        <xdr:cNvPr id="84" name="Oval 83">
          <a:extLst>
            <a:ext uri="{FF2B5EF4-FFF2-40B4-BE49-F238E27FC236}">
              <a16:creationId xmlns:a16="http://schemas.microsoft.com/office/drawing/2014/main" id="{A4D80A39-C8E3-2897-C7C5-909409099378}"/>
            </a:ext>
          </a:extLst>
        </xdr:cNvPr>
        <xdr:cNvSpPr/>
      </xdr:nvSpPr>
      <xdr:spPr>
        <a:xfrm>
          <a:off x="9950821" y="2229970"/>
          <a:ext cx="3600" cy="414618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14</xdr:col>
      <xdr:colOff>25114</xdr:colOff>
      <xdr:row>15</xdr:row>
      <xdr:rowOff>89647</xdr:rowOff>
    </xdr:from>
    <xdr:to>
      <xdr:col>14</xdr:col>
      <xdr:colOff>28714</xdr:colOff>
      <xdr:row>18</xdr:row>
      <xdr:rowOff>123265</xdr:rowOff>
    </xdr:to>
    <xdr:sp macro="" textlink="">
      <xdr:nvSpPr>
        <xdr:cNvPr id="85" name="Oval 84">
          <a:extLst>
            <a:ext uri="{FF2B5EF4-FFF2-40B4-BE49-F238E27FC236}">
              <a16:creationId xmlns:a16="http://schemas.microsoft.com/office/drawing/2014/main" id="{BD7698D6-4279-DAFC-FB5A-364B0B8D8792}"/>
            </a:ext>
          </a:extLst>
        </xdr:cNvPr>
        <xdr:cNvSpPr/>
      </xdr:nvSpPr>
      <xdr:spPr>
        <a:xfrm>
          <a:off x="9953526" y="2947147"/>
          <a:ext cx="3600" cy="605118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14</xdr:col>
      <xdr:colOff>235323</xdr:colOff>
      <xdr:row>10</xdr:row>
      <xdr:rowOff>123265</xdr:rowOff>
    </xdr:from>
    <xdr:to>
      <xdr:col>17</xdr:col>
      <xdr:colOff>134470</xdr:colOff>
      <xdr:row>13</xdr:row>
      <xdr:rowOff>33618</xdr:rowOff>
    </xdr:to>
    <xdr:sp macro="" textlink="Civil_Data!Y24">
      <xdr:nvSpPr>
        <xdr:cNvPr id="86" name="Rectangle 85">
          <a:extLst>
            <a:ext uri="{FF2B5EF4-FFF2-40B4-BE49-F238E27FC236}">
              <a16:creationId xmlns:a16="http://schemas.microsoft.com/office/drawing/2014/main" id="{2B3CB3A6-6F83-3666-9EDA-26CD476871C3}"/>
            </a:ext>
          </a:extLst>
        </xdr:cNvPr>
        <xdr:cNvSpPr/>
      </xdr:nvSpPr>
      <xdr:spPr>
        <a:xfrm>
          <a:off x="10163735" y="2028265"/>
          <a:ext cx="1714500" cy="48185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542AA3F-DA69-47DB-BB05-F9BE54DEBCDE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Ebube started Ground</a:t>
          </a:fld>
          <a:endParaRPr lang="en-NG" sz="900"/>
        </a:p>
      </xdr:txBody>
    </xdr:sp>
    <xdr:clientData/>
  </xdr:twoCellAnchor>
  <xdr:twoCellAnchor>
    <xdr:from>
      <xdr:col>14</xdr:col>
      <xdr:colOff>235323</xdr:colOff>
      <xdr:row>13</xdr:row>
      <xdr:rowOff>123265</xdr:rowOff>
    </xdr:from>
    <xdr:to>
      <xdr:col>17</xdr:col>
      <xdr:colOff>134470</xdr:colOff>
      <xdr:row>18</xdr:row>
      <xdr:rowOff>112059</xdr:rowOff>
    </xdr:to>
    <xdr:sp macro="" textlink="Civil_Data!Y25">
      <xdr:nvSpPr>
        <xdr:cNvPr id="68" name="Rectangle 67">
          <a:extLst>
            <a:ext uri="{FF2B5EF4-FFF2-40B4-BE49-F238E27FC236}">
              <a16:creationId xmlns:a16="http://schemas.microsoft.com/office/drawing/2014/main" id="{C720192D-6A75-43EF-7E77-708DFE3B9077}"/>
            </a:ext>
          </a:extLst>
        </xdr:cNvPr>
        <xdr:cNvSpPr/>
      </xdr:nvSpPr>
      <xdr:spPr>
        <a:xfrm>
          <a:off x="10163735" y="2599765"/>
          <a:ext cx="1714500" cy="9412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09EC1AF-5725-4184-AA9D-8EF2742B2F3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everything is going smoothly</a:t>
          </a:fld>
          <a:endParaRPr lang="en-NG" sz="900"/>
        </a:p>
      </xdr:txBody>
    </xdr:sp>
    <xdr:clientData/>
  </xdr:twoCellAnchor>
  <xdr:twoCellAnchor>
    <xdr:from>
      <xdr:col>14</xdr:col>
      <xdr:colOff>235323</xdr:colOff>
      <xdr:row>19</xdr:row>
      <xdr:rowOff>11206</xdr:rowOff>
    </xdr:from>
    <xdr:to>
      <xdr:col>17</xdr:col>
      <xdr:colOff>134470</xdr:colOff>
      <xdr:row>24</xdr:row>
      <xdr:rowOff>0</xdr:rowOff>
    </xdr:to>
    <xdr:sp macro="" textlink="Civil_Data!Y23">
      <xdr:nvSpPr>
        <xdr:cNvPr id="77" name="Rectangle 76">
          <a:extLst>
            <a:ext uri="{FF2B5EF4-FFF2-40B4-BE49-F238E27FC236}">
              <a16:creationId xmlns:a16="http://schemas.microsoft.com/office/drawing/2014/main" id="{8EFF1997-7769-870D-2B44-7CB9DC1DCAC7}"/>
            </a:ext>
          </a:extLst>
        </xdr:cNvPr>
        <xdr:cNvSpPr/>
      </xdr:nvSpPr>
      <xdr:spPr>
        <a:xfrm>
          <a:off x="10163735" y="3630706"/>
          <a:ext cx="1714500" cy="9412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B18D345-9445-444B-B046-9AF2623F617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Jola Finished Access_1</a:t>
          </a:fld>
          <a:endParaRPr lang="en-NG" sz="9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0.25703</cdr:x>
      <cdr:y>0.12544</cdr:y>
    </cdr:from>
    <cdr:to>
      <cdr:x>0.86995</cdr:x>
      <cdr:y>0.85714</cdr:y>
    </cdr:to>
    <cdr:sp macro="" textlink="Civil_Summary!$C$5">
      <cdr:nvSpPr>
        <cdr:cNvPr id="2" name="Rectangle: Rounded Corners 1">
          <a:extLst xmlns:a="http://schemas.openxmlformats.org/drawingml/2006/main">
            <a:ext uri="{FF2B5EF4-FFF2-40B4-BE49-F238E27FC236}">
              <a16:creationId xmlns:a16="http://schemas.microsoft.com/office/drawing/2014/main" id="{6D748E0F-0F63-7DE0-2FAA-5C83C7C234E1}"/>
            </a:ext>
          </a:extLst>
        </cdr:cNvPr>
        <cdr:cNvSpPr/>
      </cdr:nvSpPr>
      <cdr:spPr>
        <a:xfrm xmlns:a="http://schemas.openxmlformats.org/drawingml/2006/main">
          <a:off x="289060" y="159578"/>
          <a:ext cx="689313" cy="930828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F22C71B2-2206-43CA-8532-CAB33B35F824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90%</a:t>
          </a:fld>
          <a:endParaRPr lang="en-US" sz="1000" b="1">
            <a:solidFill>
              <a:schemeClr val="accent1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1</xdr:col>
      <xdr:colOff>9525</xdr:colOff>
      <xdr:row>44</xdr:row>
      <xdr:rowOff>33618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6B22E5-6634-4E4A-9CD3-1D26481A9880}"/>
            </a:ext>
          </a:extLst>
        </xdr:cNvPr>
        <xdr:cNvSpPr/>
      </xdr:nvSpPr>
      <xdr:spPr>
        <a:xfrm>
          <a:off x="28575" y="9525"/>
          <a:ext cx="586068" cy="8596593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21981</xdr:colOff>
      <xdr:row>8</xdr:row>
      <xdr:rowOff>178638</xdr:rowOff>
    </xdr:from>
    <xdr:to>
      <xdr:col>1</xdr:col>
      <xdr:colOff>38280</xdr:colOff>
      <xdr:row>10</xdr:row>
      <xdr:rowOff>131013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BEA0BF-30C2-46E0-8552-2E123C931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1" y="1702638"/>
          <a:ext cx="625899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2B0768-F471-4E60-A08E-A4E2E41DAB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/>
      </xdr:blipFill>
      <xdr:spPr>
        <a:xfrm>
          <a:off x="65942" y="1201615"/>
          <a:ext cx="490905" cy="4542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85725</xdr:colOff>
      <xdr:row>5</xdr:row>
      <xdr:rowOff>97037</xdr:rowOff>
    </xdr:to>
    <xdr:pic>
      <xdr:nvPicPr>
        <xdr:cNvPr id="5" name="Picture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E277F41-7471-433B-AF00-50CBFB59C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95325" cy="4018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438152</xdr:colOff>
      <xdr:row>19</xdr:row>
      <xdr:rowOff>5443</xdr:rowOff>
    </xdr:from>
    <xdr:to>
      <xdr:col>3</xdr:col>
      <xdr:colOff>457200</xdr:colOff>
      <xdr:row>25</xdr:row>
      <xdr:rowOff>34018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C1A34F-61BD-D7CC-634F-B6E1D83D3E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</xdr:col>
      <xdr:colOff>9525</xdr:colOff>
      <xdr:row>26</xdr:row>
      <xdr:rowOff>171450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B0B19FA-A393-4806-AA38-CE586FB8435A}"/>
            </a:ext>
          </a:extLst>
        </xdr:cNvPr>
        <xdr:cNvSpPr/>
      </xdr:nvSpPr>
      <xdr:spPr>
        <a:xfrm>
          <a:off x="28575" y="9525"/>
          <a:ext cx="590550" cy="5114925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0</xdr:colOff>
      <xdr:row>9</xdr:row>
      <xdr:rowOff>10550</xdr:rowOff>
    </xdr:from>
    <xdr:to>
      <xdr:col>1</xdr:col>
      <xdr:colOff>38711</xdr:colOff>
      <xdr:row>11</xdr:row>
      <xdr:rowOff>153425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697615B-55C1-4D5E-B7CF-0D5453167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5050"/>
          <a:ext cx="643829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6" name="Pictur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C9E801-F356-48B0-8784-116D4F248D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/>
      </xdr:blipFill>
      <xdr:spPr>
        <a:xfrm>
          <a:off x="65942" y="1201615"/>
          <a:ext cx="490905" cy="4542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76200</xdr:colOff>
      <xdr:row>5</xdr:row>
      <xdr:rowOff>97037</xdr:rowOff>
    </xdr:to>
    <xdr:pic>
      <xdr:nvPicPr>
        <xdr:cNvPr id="7" name="Pictur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7477803-CECB-4CE0-BC3F-7E0751B4C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95325" cy="401837"/>
        </a:xfrm>
        <a:prstGeom prst="rect">
          <a:avLst/>
        </a:prstGeom>
      </xdr:spPr>
    </xdr:pic>
    <xdr:clientData/>
  </xdr:twoCellAnchor>
  <xdr:twoCellAnchor>
    <xdr:from>
      <xdr:col>18</xdr:col>
      <xdr:colOff>244848</xdr:colOff>
      <xdr:row>1</xdr:row>
      <xdr:rowOff>96650</xdr:rowOff>
    </xdr:from>
    <xdr:to>
      <xdr:col>24</xdr:col>
      <xdr:colOff>103655</xdr:colOff>
      <xdr:row>15</xdr:row>
      <xdr:rowOff>172850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171C5EE-C832-AA1B-1C27-7585F993DE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219075</xdr:colOff>
      <xdr:row>26</xdr:row>
      <xdr:rowOff>100012</xdr:rowOff>
    </xdr:from>
    <xdr:to>
      <xdr:col>5</xdr:col>
      <xdr:colOff>1171575</xdr:colOff>
      <xdr:row>40</xdr:row>
      <xdr:rowOff>176212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29D9691-2B5A-3464-547E-A633AC6087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85725</xdr:colOff>
      <xdr:row>29</xdr:row>
      <xdr:rowOff>76200</xdr:rowOff>
    </xdr:from>
    <xdr:to>
      <xdr:col>5</xdr:col>
      <xdr:colOff>171450</xdr:colOff>
      <xdr:row>32</xdr:row>
      <xdr:rowOff>114300</xdr:rowOff>
    </xdr:to>
    <xdr:sp macro="" textlink="$N$30">
      <xdr:nvSpPr>
        <xdr:cNvPr id="12" name="Rectangle: Rounded Corners 11">
          <a:extLst>
            <a:ext uri="{FF2B5EF4-FFF2-40B4-BE49-F238E27FC236}">
              <a16:creationId xmlns:a16="http://schemas.microsoft.com/office/drawing/2014/main" id="{98939E5D-F163-D8B6-2D4E-CD485A31AD40}"/>
            </a:ext>
          </a:extLst>
        </xdr:cNvPr>
        <xdr:cNvSpPr/>
      </xdr:nvSpPr>
      <xdr:spPr>
        <a:xfrm>
          <a:off x="2905125" y="5600700"/>
          <a:ext cx="885825" cy="6096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7AA4706-AC4B-4969-B110-1D73C2F45307}" type="TxLink">
            <a:rPr lang="en-US" sz="18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pPr algn="ctr"/>
            <a:t>21</a:t>
          </a:fld>
          <a:endParaRPr lang="en-NG" sz="1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200025</xdr:colOff>
      <xdr:row>41</xdr:row>
      <xdr:rowOff>142874</xdr:rowOff>
    </xdr:from>
    <xdr:to>
      <xdr:col>5</xdr:col>
      <xdr:colOff>581025</xdr:colOff>
      <xdr:row>54</xdr:row>
      <xdr:rowOff>80961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82B74B6-22CF-D523-6B1C-5B767DE859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419100</xdr:colOff>
      <xdr:row>17</xdr:row>
      <xdr:rowOff>95249</xdr:rowOff>
    </xdr:from>
    <xdr:to>
      <xdr:col>5</xdr:col>
      <xdr:colOff>1104899</xdr:colOff>
      <xdr:row>21</xdr:row>
      <xdr:rowOff>47624</xdr:rowOff>
    </xdr:to>
    <xdr:sp macro="" textlink="$F$16">
      <xdr:nvSpPr>
        <xdr:cNvPr id="15" name="Rectangle 14">
          <a:extLst>
            <a:ext uri="{FF2B5EF4-FFF2-40B4-BE49-F238E27FC236}">
              <a16:creationId xmlns:a16="http://schemas.microsoft.com/office/drawing/2014/main" id="{B3B8F7F2-3B27-AABA-4FEF-D9265DC0B8D4}"/>
            </a:ext>
          </a:extLst>
        </xdr:cNvPr>
        <xdr:cNvSpPr/>
      </xdr:nvSpPr>
      <xdr:spPr>
        <a:xfrm>
          <a:off x="4038600" y="3333749"/>
          <a:ext cx="685799" cy="7143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B5E9C61-32DB-4E6A-BE19-87C88322D5E2}" type="TxLink">
            <a:rPr lang="en-US" sz="28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pPr algn="ctr"/>
            <a:t>31%</a:t>
          </a:fld>
          <a:endParaRPr lang="en-NG" sz="28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0</xdr:colOff>
      <xdr:row>21</xdr:row>
      <xdr:rowOff>171450</xdr:rowOff>
    </xdr:from>
    <xdr:to>
      <xdr:col>5</xdr:col>
      <xdr:colOff>1619250</xdr:colOff>
      <xdr:row>23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1149CF98-8831-421E-07A8-51B6D8E5326D}"/>
            </a:ext>
          </a:extLst>
        </xdr:cNvPr>
        <xdr:cNvSpPr/>
      </xdr:nvSpPr>
      <xdr:spPr>
        <a:xfrm>
          <a:off x="3619500" y="4171950"/>
          <a:ext cx="161925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24</xdr:col>
      <xdr:colOff>268939</xdr:colOff>
      <xdr:row>1</xdr:row>
      <xdr:rowOff>107575</xdr:rowOff>
    </xdr:from>
    <xdr:to>
      <xdr:col>31</xdr:col>
      <xdr:colOff>526674</xdr:colOff>
      <xdr:row>15</xdr:row>
      <xdr:rowOff>183775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282DBDC-0D6D-8192-B733-404858BA94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616322</xdr:colOff>
      <xdr:row>48</xdr:row>
      <xdr:rowOff>180414</xdr:rowOff>
    </xdr:from>
    <xdr:to>
      <xdr:col>17</xdr:col>
      <xdr:colOff>560292</xdr:colOff>
      <xdr:row>63</xdr:row>
      <xdr:rowOff>66114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34A204-E65D-0F8D-5378-19799581AA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605117</xdr:colOff>
      <xdr:row>33</xdr:row>
      <xdr:rowOff>12326</xdr:rowOff>
    </xdr:from>
    <xdr:to>
      <xdr:col>17</xdr:col>
      <xdr:colOff>549087</xdr:colOff>
      <xdr:row>47</xdr:row>
      <xdr:rowOff>88526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A497718-7D51-7B11-E298-0B9478F77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268942</xdr:colOff>
      <xdr:row>21</xdr:row>
      <xdr:rowOff>44823</xdr:rowOff>
    </xdr:from>
    <xdr:to>
      <xdr:col>22</xdr:col>
      <xdr:colOff>515471</xdr:colOff>
      <xdr:row>33</xdr:row>
      <xdr:rowOff>123265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B9B2167-9F71-E012-972A-8F69A598D1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156482</xdr:colOff>
      <xdr:row>34</xdr:row>
      <xdr:rowOff>179614</xdr:rowOff>
    </xdr:from>
    <xdr:to>
      <xdr:col>24</xdr:col>
      <xdr:colOff>591910</xdr:colOff>
      <xdr:row>49</xdr:row>
      <xdr:rowOff>65314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7D9B922-9CA9-235E-6727-C7D715B9FE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387804</xdr:colOff>
      <xdr:row>56</xdr:row>
      <xdr:rowOff>43543</xdr:rowOff>
    </xdr:from>
    <xdr:to>
      <xdr:col>6</xdr:col>
      <xdr:colOff>319768</xdr:colOff>
      <xdr:row>71</xdr:row>
      <xdr:rowOff>108857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CDBA3FF-FE76-DE9D-9393-A85618A857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0.24</cdr:x>
      <cdr:y>0.12544</cdr:y>
    </cdr:from>
    <cdr:to>
      <cdr:x>0.76571</cdr:x>
      <cdr:y>0.85714</cdr:y>
    </cdr:to>
    <cdr:sp macro="" textlink="Civil_Summary!$C$5">
      <cdr:nvSpPr>
        <cdr:cNvPr id="2" name="Rectangle: Rounded Corners 1">
          <a:extLst xmlns:a="http://schemas.openxmlformats.org/drawingml/2006/main">
            <a:ext uri="{FF2B5EF4-FFF2-40B4-BE49-F238E27FC236}">
              <a16:creationId xmlns:a16="http://schemas.microsoft.com/office/drawing/2014/main" id="{6D748E0F-0F63-7DE0-2FAA-5C83C7C234E1}"/>
            </a:ext>
          </a:extLst>
        </cdr:cNvPr>
        <cdr:cNvSpPr/>
      </cdr:nvSpPr>
      <cdr:spPr>
        <a:xfrm xmlns:a="http://schemas.openxmlformats.org/drawingml/2006/main">
          <a:off x="400048" y="146958"/>
          <a:ext cx="876300" cy="857250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F22C71B2-2206-43CA-8532-CAB33B35F82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90%</a:t>
          </a:fld>
          <a:endParaRPr lang="en-US" sz="1600" b="1">
            <a:solidFill>
              <a:schemeClr val="accent1"/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7CBE4A-711D-4DFD-A230-2B625CF92D21}" name="Table5" displayName="Table5" ref="J19:M27" totalsRowShown="0" dataDxfId="163">
  <autoFilter ref="J19:M27" xr:uid="{DB7CBE4A-711D-4DFD-A230-2B625CF92D21}">
    <filterColumn colId="0" hiddenButton="1"/>
    <filterColumn colId="1" hiddenButton="1"/>
    <filterColumn colId="2" hiddenButton="1"/>
    <filterColumn colId="3" hiddenButton="1"/>
  </autoFilter>
  <tableColumns count="4">
    <tableColumn id="1" xr3:uid="{E4080DC8-C20E-40BE-85E8-478B14BE884A}" name="Owner" dataDxfId="162">
      <calculatedColumnFormula>Upcoming_Deadline!C6</calculatedColumnFormula>
    </tableColumn>
    <tableColumn id="2" xr3:uid="{D4024918-E255-4EE1-9C94-ECAD473F2B31}" name="Task" dataDxfId="161">
      <calculatedColumnFormula>Upcoming_Deadline!B6</calculatedColumnFormula>
    </tableColumn>
    <tableColumn id="3" xr3:uid="{AD0ED009-23CA-403F-A59F-7395406C211B}" name="% Completion" dataDxfId="160">
      <calculatedColumnFormula>Upcoming_Deadline!F6</calculatedColumnFormula>
    </tableColumn>
    <tableColumn id="4" xr3:uid="{1A5EB811-57FB-48EC-BAA5-AD6A47B6ACDD}" name="Comment" dataDxfId="159">
      <calculatedColumnFormula>Upcoming_Deadline!G6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F44191-1A58-4DD3-A0D0-C281FCE7EA93}" name="Table2" displayName="Table2" ref="T4:V13" headerRowDxfId="32">
  <autoFilter ref="T4:V13" xr:uid="{55F44191-1A58-4DD3-A0D0-C281FCE7EA93}"/>
  <tableColumns count="3">
    <tableColumn id="1" xr3:uid="{763F26D4-F828-4DC6-85E4-09DC28BEE210}" name="Undone"/>
    <tableColumn id="2" xr3:uid="{C0FED891-3925-4627-8A7A-331E0D4B4237}" name="InProgress"/>
    <tableColumn id="3" xr3:uid="{C3CE07BE-90B3-49C1-9B29-41665494FE4D}" name="Comple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5D718C-C68E-4E6D-AA7D-8164D8C8F31C}" name="LogTable" displayName="LogTable" ref="T27:AE40" totalsRowCount="1" headerRowDxfId="31">
  <autoFilter ref="T27:AE39" xr:uid="{1E5D718C-C68E-4E6D-AA7D-8164D8C8F31C}"/>
  <tableColumns count="12">
    <tableColumn id="1" xr3:uid="{478DE745-7B21-404D-9AB0-6D9A31E4212E}" name="Name" totalsRowLabel="Total"/>
    <tableColumn id="2" xr3:uid="{25C0DB5F-F3D4-4443-9C7D-9A906AB18EC9}" name="Status"/>
    <tableColumn id="3" xr3:uid="{E872DEB0-2BFA-45D8-91FD-E82DB1F25340}" name="Structural_name"/>
    <tableColumn id="4" xr3:uid="{5B707313-8592-40C5-93E5-EE57954E50F4}" name="start_Date"/>
    <tableColumn id="5" xr3:uid="{4CCA8A60-500D-4F16-A1E7-EC86C3C55095}" name="End_Date"/>
    <tableColumn id="6" xr3:uid="{49DAABEC-15E9-4D47-922A-2DBAE238F2A6}" name="Comment"/>
    <tableColumn id="7" xr3:uid="{BD071C28-F5C0-4E37-B935-6D66B1C95610}" name="Time_Taken" totalsRowFunction="sum"/>
    <tableColumn id="8" xr3:uid="{9DC3EE6F-EDA8-4AB7-847C-4167918501A1}" name="Alloted_Time" totalsRowFunction="sum"/>
    <tableColumn id="12" xr3:uid="{BC6750DC-4A05-46E0-ADD8-664228BA0356}" name="Column1" dataDxfId="30">
      <calculatedColumnFormula>IF(LogTable[[#This Row],[Status]]="InProgress",LogTable[[#This Row],[Alloted_Time]],0)</calculatedColumnFormula>
    </tableColumn>
    <tableColumn id="10" xr3:uid="{273B5862-B06A-43A4-BB8E-855A4581958E}" name="cumulative_alloted_time"/>
    <tableColumn id="13" xr3:uid="{8C249F81-9380-40EA-A690-FC8C51D2DCFA}" name="column 2" dataDxfId="29">
      <calculatedColumnFormula xml:space="preserve"> IF(LogTable[[#This Row],[Time_Taken]]="", 0,LogTable[[#This Row],[Time_Taken]])</calculatedColumnFormula>
    </tableColumn>
    <tableColumn id="14" xr3:uid="{EA43AA8F-859C-4AAA-84A7-4B05C5F9C884}" name="cumulative_time-take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54C02F-6E12-4BB5-B7B1-E38373ACC410}" name="Table37" displayName="Table37" ref="B4:C6" headerRowCount="0" totalsRowShown="0">
  <tableColumns count="2">
    <tableColumn id="1" xr3:uid="{78890C23-6C3C-439C-AFD4-71ABE2ABE683}" name="Column1"/>
    <tableColumn id="2" xr3:uid="{E078180C-5D0F-4873-BBB3-CB9B6EFF8458}" name="Column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79D25F-DA95-42BB-BD06-CCA4B62B73E7}" name="Table1812" displayName="Table1812" ref="F3:K11" totalsRowCount="1">
  <autoFilter ref="F3:K10" xr:uid="{3E79D25F-DA95-42BB-BD06-CCA4B62B73E7}"/>
  <tableColumns count="6">
    <tableColumn id="1" xr3:uid="{A2DCD200-AC6F-4396-A1BB-7DA1DA42D382}" name="Structure_Type" totalsRowLabel="Total" dataDxfId="28" totalsRowDxfId="27"/>
    <tableColumn id="2" xr3:uid="{C9FF49FD-FF68-450A-9CFB-FB715BA71AE3}" name="Count" totalsRowFunction="sum" dataDxfId="26">
      <calculatedColumnFormula>COUNTIF(Civil_Data!C:C,Table1812[[#This Row],[Structure_Type]])</calculatedColumnFormula>
    </tableColumn>
    <tableColumn id="3" xr3:uid="{F1659EE6-7E19-4C19-8495-2352DAC123A5}" name="%_Progress" totalsRowFunction="sum" dataDxfId="25" totalsRowDxfId="24">
      <calculatedColumnFormula>Table1812[[#This Row],[Count]]/(COUNTA(Civil_Data!C:C)-1)*100</calculatedColumnFormula>
    </tableColumn>
    <tableColumn id="4" xr3:uid="{1FC8692F-3F3B-48A2-9117-E549262D4EB4}" name="Task_Completed" totalsRowFunction="sum" dataDxfId="23" totalsRowDxfId="22">
      <calculatedColumnFormula>COUNTIFS(Civil_Data!C:C,Table1812[[#This Row],[Structure_Type]],Civil_Data!L:L,"Complete")</calculatedColumnFormula>
    </tableColumn>
    <tableColumn id="5" xr3:uid="{2C201013-C1A4-439F-8CF8-B468131BAEA4}" name="hours_planned" totalsRowFunction="sum" dataDxfId="21">
      <calculatedColumnFormula>SUMIFS(Civil_Data!F:F,Civil_Data!C:C,F4)</calculatedColumnFormula>
    </tableColumn>
    <tableColumn id="6" xr3:uid="{03F922FD-2FC6-431F-92D8-E9928A4AEBCE}" name="Hours_earned" totalsRowFunction="sum" dataDxfId="20">
      <calculatedColumnFormula>SUMIFS(Civil_Data!K:K,Civil_Data!C:C,F4,Civil_Data!L:L,"Complete")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038775D-5F95-47AD-A975-0E1F4DA4869B}" name="Table2913" displayName="Table2913" ref="M3:O14" totalsRowCount="1" headerRowDxfId="19">
  <autoFilter ref="M3:O13" xr:uid="{E038775D-5F95-47AD-A975-0E1F4DA4869B}"/>
  <tableColumns count="3">
    <tableColumn id="1" xr3:uid="{0B1D831B-61CA-4E75-AD2D-262B534BBD5C}" name="Undone" totalsRowFunction="custom">
      <totalsRowFormula>COUNTIF(Civil_Data!$L:$L,Table2913[[#Headers],[Undone]])</totalsRowFormula>
    </tableColumn>
    <tableColumn id="2" xr3:uid="{0075F782-8C6A-47F5-A89E-DDAC2816482A}" name="InProgress" totalsRowFunction="custom">
      <totalsRowFormula>COUNTIF(Civil_Data!$L:$L,Table2913[[#Headers],[InProgress]])</totalsRowFormula>
    </tableColumn>
    <tableColumn id="3" xr3:uid="{673336D1-7EBB-4A21-B2C5-16E1ED040C92}" name="Complete" totalsRowFunction="custom">
      <totalsRowFormula>COUNTIF(Civil_Data!$L:$L,Table2913[[#Headers],[Complete]])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F3FF8A0-582E-44B0-B184-98F34482F1C9}" name="Table51014" displayName="Table51014" ref="Q3:R12" totalsRowShown="0">
  <autoFilter ref="Q3:R12" xr:uid="{3F3FF8A0-582E-44B0-B184-98F34482F1C9}"/>
  <tableColumns count="2">
    <tableColumn id="1" xr3:uid="{C01BDC6A-8662-49E1-96D6-D2D9904C5B82}" name="InProgress" dataDxfId="18"/>
    <tableColumn id="2" xr3:uid="{668884EF-D161-42EC-B64A-EC7FBA02D311}" name="InProgress_Count" dataDxfId="17">
      <calculatedColumnFormula>COUNTIF(Civil_Data!M:M,Table51014[[#This Row],[InProgress]])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7CD8CF5-FC27-4910-924C-CA0A6A97CF6A}" name="Owner" displayName="Owner" ref="M25:R30" totalsRowCount="1" headerRowDxfId="16">
  <autoFilter ref="M25:R29" xr:uid="{C7CD8CF5-FC27-4910-924C-CA0A6A97CF6A}"/>
  <tableColumns count="6">
    <tableColumn id="1" xr3:uid="{A7ADDB45-7D86-4B3C-AA0C-EF2880E2399F}" name="Owner" totalsRowLabel="Total"/>
    <tableColumn id="2" xr3:uid="{6728BC41-657E-44C3-B3B1-71DF2B4A6EF5}" name="All_Task_Count" totalsRowFunction="sum" dataDxfId="15">
      <calculatedColumnFormula>COUNTIF(Civil_Data!E:E,Owner[[#This Row],[Owner]])</calculatedColumnFormula>
    </tableColumn>
    <tableColumn id="4" xr3:uid="{C0F47132-91C1-482D-B475-DEB2C41E2E67}" name="Task-Completed" totalsRowFunction="sum" dataDxfId="14">
      <calculatedColumnFormula>COUNTIFS(Civil_Data!L:L,"Complete",Civil_Data!E:E,M26)</calculatedColumnFormula>
    </tableColumn>
    <tableColumn id="3" xr3:uid="{8931EF1A-28E7-4A0D-8C0C-184FF5EEFE7F}" name="Hours_spent" totalsRowFunction="custom" dataDxfId="13" totalsRowDxfId="12">
      <calculatedColumnFormula>SUMIF(Civil_Data!E:E,M26,Civil_Data!K:K)</calculatedColumnFormula>
      <totalsRowFormula>ROUND(SUBTOTAL(109,Owner[Hours_spent]),0)</totalsRowFormula>
    </tableColumn>
    <tableColumn id="5" xr3:uid="{F7E9E27C-254B-48BB-B671-D9874215FF75}" name="Alloted_Time" totalsRowFunction="sum" dataDxfId="11">
      <calculatedColumnFormula>SUMIF(Civil_Data!E:E,M26,Civil_Data!F:F)</calculatedColumnFormula>
    </tableColumn>
    <tableColumn id="6" xr3:uid="{9CDA1EBA-3350-4DA4-8EC2-0E4D2058FED7}" name="% Contribution by Hours" totalsRowFunction="sum" dataDxfId="10" totalsRowDxfId="9">
      <calculatedColumnFormula>Owner[[#This Row],[Hours_spent]]/Civil_Summary!$P$30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C35581-9791-40C0-BFD3-02A040D50D9F}" name="Table4" displayName="Table4" ref="A5:I24" totalsRowShown="0">
  <autoFilter ref="A5:I24" xr:uid="{72C35581-9791-40C0-BFD3-02A040D50D9F}"/>
  <sortState xmlns:xlrd2="http://schemas.microsoft.com/office/spreadsheetml/2017/richdata2" ref="A6:I24">
    <sortCondition descending="1" ref="H6:H24"/>
  </sortState>
  <tableColumns count="9">
    <tableColumn id="1" xr3:uid="{2E56477A-A419-47A5-8E67-6FEA8BA41881}" name="Task_ID" dataDxfId="8">
      <calculatedColumnFormula array="1" xml:space="preserve"> IFERROR(INDEX(Civil_Data!$B$2:$B$49, SMALL(IF((Civil_Data!$J$2:$J$49 &lt;Upcoming_Deadline!$J$2)*(Civil_Data!$L$2:$L$49="InProgress"),ROW(Civil_Data!$B$2:$B$49) - ROW(Civil_Data!$B$2)+1),ROW() - ROW(Upcoming_Deadline!$A$6)+1)), "")</calculatedColumnFormula>
    </tableColumn>
    <tableColumn id="2" xr3:uid="{97B9C991-7AE9-483C-9EFA-00274326BBBF}" name="Task" dataDxfId="7">
      <calculatedColumnFormula array="1" xml:space="preserve"> IFERROR(INDEX(Civil_Data!$D$2:$D$49, SMALL(IF((Civil_Data!$J$2:$J$49 &lt;(Upcoming_Deadline!$J$2)+1)*(Civil_Data!$L$2:$L$49="InProgress"),ROW(Civil_Data!$D$2:$D$49) - ROW(Civil_Data!$D$2)+1),ROW() - ROW(Upcoming_Deadline!$A$6)+1)), "")</calculatedColumnFormula>
    </tableColumn>
    <tableColumn id="3" xr3:uid="{03CE85F2-306E-42D9-943A-DA4B4B30EE96}" name="Task_Owner" dataDxfId="6">
      <calculatedColumnFormula array="1" xml:space="preserve"> IFERROR(INDEX(Civil_Data!$E$2:$E$49, SMALL(IF((Civil_Data!$J$2:$J$49 &lt;(Upcoming_Deadline!$J$2)+1)*(Civil_Data!$L$2:$L$49="InProgress"),ROW(Civil_Data!$E$2:$E$49) - ROW(Civil_Data!$E$2)+1),ROW() - ROW(Upcoming_Deadline!$A$6)+1)), "")</calculatedColumnFormula>
    </tableColumn>
    <tableColumn id="4" xr3:uid="{75213AFC-7DB0-403C-885E-D306E7460D53}" name="Last_Updated" dataDxfId="5">
      <calculatedColumnFormula array="1" xml:space="preserve"> IFERROR(INDEX(Civil_Data!$I$2:$I$49, SMALL(IF((Civil_Data!$J$2:$J$49 &lt;(Upcoming_Deadline!$J$2)+1)*(Civil_Data!$L$2:$L$49="InProgress"),ROW(Civil_Data!$I$2:$I$49) - ROW(Civil_Data!$I$2)+1),ROW() - ROW(Upcoming_Deadline!$A$6)+1)), "")</calculatedColumnFormula>
    </tableColumn>
    <tableColumn id="5" xr3:uid="{D6957866-865E-43EA-96F8-844526FD470A}" name="Status" dataDxfId="4">
      <calculatedColumnFormula array="1" xml:space="preserve"> IFERROR(INDEX(Civil_Data!$L$2:$L$49, SMALL(IF((Civil_Data!$J$2:$J$49 &lt;(Upcoming_Deadline!$J$2)+1)*(Civil_Data!$L$2:$L$49="InProgress"),ROW(Civil_Data!$L$2:$L$49) - ROW(Civil_Data!$L$2)+1),ROW() - ROW(Upcoming_Deadline!$A$6)+1)), "")</calculatedColumnFormula>
    </tableColumn>
    <tableColumn id="6" xr3:uid="{93756E19-A1ED-4987-A60A-EB7D4D19BC34}" name="%_Completion" dataDxfId="3">
      <calculatedColumnFormula array="1" xml:space="preserve"> IFERROR(INDEX(Civil_Data!$M$2:$M$49, SMALL(IF((Civil_Data!$J$2:$J$49 &lt;(Upcoming_Deadline!$J$2)+1)*(Civil_Data!$L$2:$L$49="InProgress"),ROW(Civil_Data!$M$2:$M$49) - ROW(Civil_Data!$M$2)+1),ROW() - ROW(Upcoming_Deadline!$A$6)+1)), "")</calculatedColumnFormula>
    </tableColumn>
    <tableColumn id="7" xr3:uid="{F987E50A-596D-491B-8BF6-A9664AE7A628}" name="Comment" dataDxfId="2">
      <calculatedColumnFormula array="1" xml:space="preserve"> IFERROR(INDEX(Civil_Data!$P$2:$P$49, SMALL(IF((Civil_Data!$J$2:$J$49&lt;(Upcoming_Deadline!$J$2)+1)*(Civil_Data!$L$2:$L$49="InProgress"),ROW(Civil_Data!$P$2:$P$49) - ROW(Civil_Data!$P$2)+1),ROW() - ROW(Upcoming_Deadline!$A$6)+1)), "")</calculatedColumnFormula>
    </tableColumn>
    <tableColumn id="8" xr3:uid="{7DC2D435-C645-45DD-BD9D-3E1E5455D68D}" name="Expected_end_Date" dataDxfId="1">
      <calculatedColumnFormula array="1" xml:space="preserve"> IFERROR(INDEX(Civil_Data!$J$2:$J$49, SMALL(IF((Civil_Data!$J$2:$J$49&lt;(Upcoming_Deadline!$J$2)+1)*(Civil_Data!$L$2:$L$49="InProgress"),ROW(Civil_Data!$J$2:$J$49) - ROW(Civil_Data!$J$2)+1),ROW() - ROW(Upcoming_Deadline!$A$6)+1)), "")</calculatedColumnFormula>
    </tableColumn>
    <tableColumn id="10" xr3:uid="{BC9A0A87-AC50-457C-9E53-ADA11B88A9F2}" name="Days_Due" dataDxfId="0">
      <calculatedColumnFormula xml:space="preserve"> IFERROR(NETWORKDAYS(Table4[[#This Row],[Expected_end_Date]],$J$2,Civil_Data!Q2:Q6),"")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B9D-23B6-4843-A8B9-B6881C704BC1}">
  <sheetPr codeName="Sheet1"/>
  <dimension ref="J16:R27"/>
  <sheetViews>
    <sheetView showGridLines="0" zoomScale="70" zoomScaleNormal="70" workbookViewId="0">
      <selection activeCell="S15" sqref="S15"/>
    </sheetView>
  </sheetViews>
  <sheetFormatPr defaultRowHeight="15" x14ac:dyDescent="0.25"/>
  <cols>
    <col min="11" max="11" width="21.42578125" bestFit="1" customWidth="1"/>
    <col min="12" max="12" width="14" customWidth="1"/>
    <col min="13" max="13" width="20.28515625" bestFit="1" customWidth="1"/>
    <col min="14" max="14" width="2.42578125" customWidth="1"/>
  </cols>
  <sheetData>
    <row r="16" spans="18:18" x14ac:dyDescent="0.25">
      <c r="R16" t="s">
        <v>60</v>
      </c>
    </row>
    <row r="18" spans="10:13" x14ac:dyDescent="0.25">
      <c r="L18" s="16"/>
    </row>
    <row r="19" spans="10:13" x14ac:dyDescent="0.25">
      <c r="J19" t="s">
        <v>3</v>
      </c>
      <c r="K19" t="s">
        <v>50</v>
      </c>
      <c r="L19" t="s">
        <v>59</v>
      </c>
      <c r="M19" t="s">
        <v>33</v>
      </c>
    </row>
    <row r="20" spans="10:13" x14ac:dyDescent="0.25">
      <c r="J20" s="14" t="str">
        <f ca="1">Upcoming_Deadline!C6</f>
        <v>Jola</v>
      </c>
      <c r="K20" s="15" t="str">
        <f ca="1">Upcoming_Deadline!B6</f>
        <v>Pump_House_Shelter</v>
      </c>
      <c r="L20" s="14">
        <f ca="1">Upcoming_Deadline!F6</f>
        <v>40</v>
      </c>
      <c r="M20" s="15" t="str">
        <f ca="1">Upcoming_Deadline!G6</f>
        <v>Please Add Comment</v>
      </c>
    </row>
    <row r="21" spans="10:13" x14ac:dyDescent="0.25">
      <c r="J21" s="14" t="str">
        <f ca="1">Upcoming_Deadline!C7</f>
        <v>Habeeb</v>
      </c>
      <c r="K21" s="14" t="str">
        <f ca="1">Upcoming_Deadline!B7</f>
        <v>Generator_House</v>
      </c>
      <c r="L21" s="14">
        <f ca="1">Upcoming_Deadline!F7</f>
        <v>30</v>
      </c>
      <c r="M21" s="14" t="str">
        <f ca="1">Upcoming_Deadline!G7</f>
        <v>Please Add Comment</v>
      </c>
    </row>
    <row r="22" spans="10:13" x14ac:dyDescent="0.25">
      <c r="J22" s="14" t="str">
        <f ca="1">Upcoming_Deadline!C8</f>
        <v/>
      </c>
      <c r="K22" s="14" t="str">
        <f ca="1">Upcoming_Deadline!B8</f>
        <v/>
      </c>
      <c r="L22" s="14" t="str">
        <f ca="1">Upcoming_Deadline!F8</f>
        <v/>
      </c>
      <c r="M22" s="14" t="str">
        <f ca="1">Upcoming_Deadline!G8</f>
        <v/>
      </c>
    </row>
    <row r="23" spans="10:13" x14ac:dyDescent="0.25">
      <c r="J23" s="14" t="str">
        <f ca="1">Upcoming_Deadline!C9</f>
        <v/>
      </c>
      <c r="K23" s="14" t="str">
        <f ca="1">Upcoming_Deadline!B9</f>
        <v/>
      </c>
      <c r="L23" s="14" t="str">
        <f ca="1">Upcoming_Deadline!F9</f>
        <v/>
      </c>
      <c r="M23" s="14" t="str">
        <f ca="1">Upcoming_Deadline!G9</f>
        <v/>
      </c>
    </row>
    <row r="24" spans="10:13" x14ac:dyDescent="0.25">
      <c r="J24" s="14" t="str">
        <f ca="1">Upcoming_Deadline!C10</f>
        <v/>
      </c>
      <c r="K24" s="14" t="str">
        <f ca="1">Upcoming_Deadline!B10</f>
        <v/>
      </c>
      <c r="L24" s="14" t="str">
        <f ca="1">Upcoming_Deadline!F10</f>
        <v/>
      </c>
      <c r="M24" s="14" t="str">
        <f ca="1">Upcoming_Deadline!G10</f>
        <v/>
      </c>
    </row>
    <row r="25" spans="10:13" x14ac:dyDescent="0.25">
      <c r="J25" s="14" t="str">
        <f ca="1">Upcoming_Deadline!C11</f>
        <v/>
      </c>
      <c r="K25" s="14" t="str">
        <f ca="1">Upcoming_Deadline!B11</f>
        <v/>
      </c>
      <c r="L25" s="14" t="str">
        <f ca="1">Upcoming_Deadline!F11</f>
        <v/>
      </c>
      <c r="M25" s="14" t="str">
        <f ca="1">Upcoming_Deadline!G11</f>
        <v/>
      </c>
    </row>
    <row r="26" spans="10:13" x14ac:dyDescent="0.25">
      <c r="J26" s="14" t="str">
        <f ca="1">Upcoming_Deadline!C12</f>
        <v/>
      </c>
      <c r="K26" s="14" t="str">
        <f ca="1">Upcoming_Deadline!B12</f>
        <v/>
      </c>
      <c r="L26" s="14" t="str">
        <f ca="1">Upcoming_Deadline!F12</f>
        <v/>
      </c>
      <c r="M26" s="14" t="str">
        <f ca="1">Upcoming_Deadline!G12</f>
        <v/>
      </c>
    </row>
    <row r="27" spans="10:13" x14ac:dyDescent="0.25">
      <c r="J27" s="14" t="str">
        <f ca="1">Upcoming_Deadline!C13</f>
        <v/>
      </c>
      <c r="K27" s="14" t="str">
        <f ca="1">Upcoming_Deadline!B13</f>
        <v/>
      </c>
      <c r="L27" s="14" t="str">
        <f ca="1">Upcoming_Deadline!F13</f>
        <v/>
      </c>
      <c r="M27" s="14" t="str">
        <f ca="1">Upcoming_Deadline!G13</f>
        <v/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8C2AB-22A8-41C9-B1F0-1BC38C77537E}">
  <sheetPr codeName="Sheet2"/>
  <dimension ref="A1:AE513"/>
  <sheetViews>
    <sheetView tabSelected="1" zoomScale="70" zoomScaleNormal="70" workbookViewId="0">
      <selection activeCell="H9" sqref="H9"/>
    </sheetView>
  </sheetViews>
  <sheetFormatPr defaultRowHeight="15" x14ac:dyDescent="0.25"/>
  <cols>
    <col min="2" max="2" width="4.28515625" bestFit="1" customWidth="1"/>
    <col min="3" max="3" width="24.28515625" bestFit="1" customWidth="1"/>
    <col min="4" max="4" width="25.7109375" bestFit="1" customWidth="1"/>
    <col min="5" max="5" width="8.42578125" bestFit="1" customWidth="1"/>
    <col min="6" max="6" width="22" bestFit="1" customWidth="1"/>
    <col min="7" max="7" width="21.42578125" style="11" bestFit="1" customWidth="1"/>
    <col min="8" max="8" width="18.140625" style="10" bestFit="1" customWidth="1"/>
    <col min="9" max="9" width="21.42578125" style="11" bestFit="1" customWidth="1"/>
    <col min="10" max="10" width="25.7109375" style="11" bestFit="1" customWidth="1"/>
    <col min="11" max="11" width="15.42578125" bestFit="1" customWidth="1"/>
    <col min="12" max="12" width="13.85546875" style="1" bestFit="1" customWidth="1"/>
    <col min="13" max="13" width="18.140625" style="3" bestFit="1" customWidth="1"/>
    <col min="14" max="14" width="14.140625" hidden="1" customWidth="1"/>
    <col min="15" max="15" width="21.5703125" bestFit="1" customWidth="1"/>
    <col min="16" max="17" width="29.140625" customWidth="1"/>
    <col min="18" max="18" width="21" style="11" bestFit="1" customWidth="1"/>
    <col min="20" max="20" width="24.42578125" customWidth="1"/>
    <col min="21" max="21" width="32.7109375" customWidth="1"/>
    <col min="22" max="22" width="20.140625" bestFit="1" customWidth="1"/>
    <col min="23" max="23" width="17.5703125" bestFit="1" customWidth="1"/>
    <col min="24" max="24" width="18.28515625" bestFit="1" customWidth="1"/>
    <col min="25" max="25" width="22.140625" bestFit="1" customWidth="1"/>
    <col min="26" max="26" width="14.140625" bestFit="1" customWidth="1"/>
    <col min="27" max="27" width="15.42578125" bestFit="1" customWidth="1"/>
    <col min="28" max="28" width="27.85546875" bestFit="1" customWidth="1"/>
    <col min="29" max="29" width="26" bestFit="1" customWidth="1"/>
    <col min="30" max="30" width="10.7109375" bestFit="1" customWidth="1"/>
    <col min="31" max="31" width="24.42578125" bestFit="1" customWidth="1"/>
  </cols>
  <sheetData>
    <row r="1" spans="1:25" s="2" customFormat="1" x14ac:dyDescent="0.25">
      <c r="A1" s="30"/>
      <c r="B1" s="33" t="s">
        <v>0</v>
      </c>
      <c r="C1" s="33" t="s">
        <v>1</v>
      </c>
      <c r="D1" s="33" t="s">
        <v>2</v>
      </c>
      <c r="E1" s="33" t="s">
        <v>3</v>
      </c>
      <c r="F1" s="33" t="s">
        <v>11</v>
      </c>
      <c r="G1" s="34" t="s">
        <v>26</v>
      </c>
      <c r="H1" s="35" t="s">
        <v>27</v>
      </c>
      <c r="I1" s="35" t="s">
        <v>35</v>
      </c>
      <c r="J1" s="35" t="s">
        <v>37</v>
      </c>
      <c r="K1" s="33" t="s">
        <v>36</v>
      </c>
      <c r="L1" s="33" t="s">
        <v>4</v>
      </c>
      <c r="M1" s="33" t="s">
        <v>5</v>
      </c>
      <c r="N1" s="36"/>
      <c r="O1" s="33" t="s">
        <v>6</v>
      </c>
      <c r="P1" s="37" t="s">
        <v>33</v>
      </c>
      <c r="Q1" s="2" t="s">
        <v>38</v>
      </c>
      <c r="R1" s="12"/>
      <c r="U1" s="9"/>
    </row>
    <row r="2" spans="1:25" x14ac:dyDescent="0.25">
      <c r="A2" s="25"/>
      <c r="B2" s="38">
        <v>1</v>
      </c>
      <c r="C2" s="38" t="s">
        <v>10</v>
      </c>
      <c r="D2" s="38" t="s">
        <v>10</v>
      </c>
      <c r="E2" s="38" t="s">
        <v>22</v>
      </c>
      <c r="F2" s="38">
        <v>8</v>
      </c>
      <c r="G2" s="39">
        <f t="shared" ref="G2:G22" ca="1" si="0">IF(L2="InProgress",IF(G2="",$U$16,G2),IF(L2="Complete",G2,""))</f>
        <v>45099.525641666667</v>
      </c>
      <c r="H2" s="40">
        <f t="shared" ref="H2:H14" ca="1" si="1">IF(L2="Complete", IF(H2="",$U$16,H2),"")</f>
        <v>45099.580329166667</v>
      </c>
      <c r="I2" s="39">
        <v>45098.99622685185</v>
      </c>
      <c r="J2" s="47">
        <f ca="1">IFERROR(WORKDAY.INTL(G2, ((F2/8)+IF(MOD(F2,8)&gt;0,1,0)), 1),"")</f>
        <v>45100</v>
      </c>
      <c r="K2" s="41">
        <f ca="1">IFERROR(IF(WEEKDAY(H2,2)&gt;5,"",IF(INT(G2)=INT(H2),(MOD(H2,1)*24)-(MOD(G2,1)*24),(NETWORKDAYS.INTL(G2,H2,1,$Q$2:$Q$6)*8)-IF(MOD(G2,1)*24&lt;8,0,IF(MOD(G2,1)*24&gt;16,0,MOD(G2,1)*24 - 8)-IF(MOD(H2,1)*24&gt;16,0,IF(MOD(H2,1)*24&lt;8,0,16-MOD(H2,1)*24))))),"")</f>
        <v>1.3125</v>
      </c>
      <c r="L2" s="42" t="s">
        <v>13</v>
      </c>
      <c r="M2" s="43">
        <v>100</v>
      </c>
      <c r="N2" s="38"/>
      <c r="O2" s="38" t="s">
        <v>16</v>
      </c>
      <c r="P2" s="38" t="s">
        <v>53</v>
      </c>
      <c r="Q2" s="13">
        <v>45106</v>
      </c>
      <c r="S2">
        <f>MOD(7,8)</f>
        <v>7</v>
      </c>
      <c r="T2" s="1"/>
      <c r="U2" s="1"/>
    </row>
    <row r="3" spans="1:25" x14ac:dyDescent="0.25">
      <c r="A3" s="25"/>
      <c r="B3" s="38">
        <v>2</v>
      </c>
      <c r="C3" s="38" t="s">
        <v>9</v>
      </c>
      <c r="D3" s="38" t="s">
        <v>9</v>
      </c>
      <c r="E3" s="38" t="s">
        <v>23</v>
      </c>
      <c r="F3" s="38">
        <v>1</v>
      </c>
      <c r="G3" s="39">
        <f t="shared" ca="1" si="0"/>
        <v>45099.525712615738</v>
      </c>
      <c r="H3" s="40">
        <f t="shared" ca="1" si="1"/>
        <v>45099.580389699076</v>
      </c>
      <c r="I3" s="39">
        <v>45099.587627314817</v>
      </c>
      <c r="J3" s="47">
        <f t="shared" ref="J3:J22" ca="1" si="2">IFERROR(WORKDAY.INTL(G3, ((F3/8)+IF(MOD(F3,8)&gt;0,1,0)), 1),"")</f>
        <v>45100</v>
      </c>
      <c r="K3" s="41">
        <f t="shared" ref="K3:K56" ca="1" si="3">IFERROR(IF(WEEKDAY(H3,2)&gt;5,"",IF(INT(G3)=INT(H3),(MOD(H3,1)*24)-(MOD(G3,1)*24),(NETWORKDAYS.INTL(G3,H3,1,$Q$2:$Q$6)*8)-IF(MOD(G3,1)*24&lt;8,0,IF(MOD(G3,1)*24&gt;16,0,MOD(G3,1)*24 - 8)-IF(MOD(H3,1)*24&gt;16,0,IF(MOD(H3,1)*24&lt;8,0,16-MOD(H3,1)*24))))),"")</f>
        <v>1.3122500001336448</v>
      </c>
      <c r="L3" s="42" t="s">
        <v>13</v>
      </c>
      <c r="M3" s="43">
        <v>100</v>
      </c>
      <c r="N3" s="38"/>
      <c r="O3" s="38" t="s">
        <v>16</v>
      </c>
      <c r="P3" s="38" t="s">
        <v>93</v>
      </c>
      <c r="Q3" s="13">
        <v>45107</v>
      </c>
      <c r="U3" s="4"/>
    </row>
    <row r="4" spans="1:25" x14ac:dyDescent="0.25">
      <c r="A4" s="25"/>
      <c r="B4" s="38">
        <v>3</v>
      </c>
      <c r="C4" s="38" t="s">
        <v>19</v>
      </c>
      <c r="D4" s="38" t="s">
        <v>44</v>
      </c>
      <c r="E4" s="38" t="s">
        <v>32</v>
      </c>
      <c r="F4" s="38">
        <v>1</v>
      </c>
      <c r="G4" s="39">
        <f t="shared" ca="1" si="0"/>
        <v>45099.525750000001</v>
      </c>
      <c r="H4" s="40">
        <f t="shared" ca="1" si="1"/>
        <v>45099.587522800924</v>
      </c>
      <c r="I4" s="39">
        <v>45099.587650462963</v>
      </c>
      <c r="J4" s="47">
        <f t="shared" ca="1" si="2"/>
        <v>45100</v>
      </c>
      <c r="K4" s="41">
        <f t="shared" ca="1" si="3"/>
        <v>1.4825472221709788</v>
      </c>
      <c r="L4" s="42" t="s">
        <v>13</v>
      </c>
      <c r="M4" s="43">
        <v>100</v>
      </c>
      <c r="N4" s="38"/>
      <c r="O4" s="38" t="s">
        <v>16</v>
      </c>
      <c r="P4" s="38" t="s">
        <v>53</v>
      </c>
      <c r="Q4" s="13">
        <v>45201</v>
      </c>
      <c r="T4" s="1" t="s">
        <v>12</v>
      </c>
      <c r="U4" s="1" t="s">
        <v>55</v>
      </c>
      <c r="V4" s="1" t="s">
        <v>13</v>
      </c>
    </row>
    <row r="5" spans="1:25" x14ac:dyDescent="0.25">
      <c r="A5" s="25"/>
      <c r="B5" s="38">
        <v>4</v>
      </c>
      <c r="C5" s="38" t="s">
        <v>7</v>
      </c>
      <c r="D5" s="38" t="s">
        <v>41</v>
      </c>
      <c r="E5" s="38" t="s">
        <v>32</v>
      </c>
      <c r="F5" s="38">
        <v>1</v>
      </c>
      <c r="G5" s="39">
        <f t="shared" ca="1" si="0"/>
        <v>45099.525980671293</v>
      </c>
      <c r="H5" s="40" t="str">
        <f t="shared" si="1"/>
        <v/>
      </c>
      <c r="I5" s="39">
        <v>45099.587731481479</v>
      </c>
      <c r="J5" s="47">
        <f t="shared" ca="1" si="2"/>
        <v>45100</v>
      </c>
      <c r="K5" s="41" t="str">
        <f t="shared" si="3"/>
        <v/>
      </c>
      <c r="L5" s="42" t="s">
        <v>55</v>
      </c>
      <c r="M5" s="43">
        <v>40</v>
      </c>
      <c r="N5" s="38"/>
      <c r="O5" s="38" t="s">
        <v>16</v>
      </c>
      <c r="P5" s="38" t="s">
        <v>53</v>
      </c>
      <c r="Q5" s="13">
        <v>45102</v>
      </c>
      <c r="T5">
        <v>0</v>
      </c>
      <c r="U5">
        <v>10</v>
      </c>
      <c r="V5">
        <v>100</v>
      </c>
    </row>
    <row r="6" spans="1:25" x14ac:dyDescent="0.25">
      <c r="A6" s="25"/>
      <c r="B6" s="38">
        <v>5</v>
      </c>
      <c r="C6" s="38" t="s">
        <v>7</v>
      </c>
      <c r="D6" s="38" t="s">
        <v>42</v>
      </c>
      <c r="E6" s="38" t="s">
        <v>32</v>
      </c>
      <c r="F6" s="38">
        <v>1</v>
      </c>
      <c r="G6" s="39" t="str">
        <f t="shared" si="0"/>
        <v/>
      </c>
      <c r="H6" s="40" t="str">
        <f t="shared" si="1"/>
        <v/>
      </c>
      <c r="I6" s="39"/>
      <c r="J6" s="47" t="str">
        <f t="shared" si="2"/>
        <v/>
      </c>
      <c r="K6" s="44" t="str">
        <f t="shared" si="3"/>
        <v/>
      </c>
      <c r="L6" s="42" t="s">
        <v>12</v>
      </c>
      <c r="M6" s="43">
        <v>0</v>
      </c>
      <c r="N6" s="38"/>
      <c r="O6" s="38" t="s">
        <v>16</v>
      </c>
      <c r="P6" s="38" t="s">
        <v>53</v>
      </c>
      <c r="Q6" s="13">
        <v>45103</v>
      </c>
      <c r="U6">
        <v>20</v>
      </c>
    </row>
    <row r="7" spans="1:25" x14ac:dyDescent="0.25">
      <c r="A7" s="25"/>
      <c r="B7" s="38">
        <v>6</v>
      </c>
      <c r="C7" s="38" t="s">
        <v>7</v>
      </c>
      <c r="D7" s="38" t="s">
        <v>45</v>
      </c>
      <c r="E7" s="38" t="s">
        <v>24</v>
      </c>
      <c r="F7" s="38">
        <v>4</v>
      </c>
      <c r="G7" s="39">
        <f t="shared" ca="1" si="0"/>
        <v>45099.526785879629</v>
      </c>
      <c r="H7" s="40" t="str">
        <f t="shared" si="1"/>
        <v/>
      </c>
      <c r="I7" s="39">
        <v>45099.587777777779</v>
      </c>
      <c r="J7" s="47">
        <f t="shared" ca="1" si="2"/>
        <v>45100</v>
      </c>
      <c r="K7" s="41" t="str">
        <f t="shared" si="3"/>
        <v/>
      </c>
      <c r="L7" s="42" t="s">
        <v>55</v>
      </c>
      <c r="M7" s="43">
        <v>30</v>
      </c>
      <c r="N7" s="38"/>
      <c r="O7" s="38" t="s">
        <v>16</v>
      </c>
      <c r="P7" s="38" t="s">
        <v>53</v>
      </c>
      <c r="U7">
        <v>30</v>
      </c>
    </row>
    <row r="8" spans="1:25" x14ac:dyDescent="0.25">
      <c r="A8" s="25"/>
      <c r="B8" s="38">
        <v>7</v>
      </c>
      <c r="C8" s="38" t="s">
        <v>8</v>
      </c>
      <c r="D8" s="38" t="s">
        <v>43</v>
      </c>
      <c r="E8" s="38" t="s">
        <v>32</v>
      </c>
      <c r="F8" s="38">
        <v>1</v>
      </c>
      <c r="G8" s="39" t="str">
        <f t="shared" si="0"/>
        <v/>
      </c>
      <c r="H8" s="40" t="str">
        <f t="shared" si="1"/>
        <v/>
      </c>
      <c r="I8" s="39"/>
      <c r="J8" s="39" t="str">
        <f t="shared" si="2"/>
        <v/>
      </c>
      <c r="K8" s="41" t="str">
        <f t="shared" si="3"/>
        <v/>
      </c>
      <c r="L8" s="42" t="s">
        <v>12</v>
      </c>
      <c r="M8" s="43">
        <v>0</v>
      </c>
      <c r="N8" s="38"/>
      <c r="O8" s="38" t="s">
        <v>17</v>
      </c>
      <c r="P8" s="38" t="s">
        <v>53</v>
      </c>
      <c r="U8">
        <v>40</v>
      </c>
    </row>
    <row r="9" spans="1:25" x14ac:dyDescent="0.25">
      <c r="A9" s="25"/>
      <c r="B9" s="38">
        <v>8</v>
      </c>
      <c r="C9" s="38" t="s">
        <v>70</v>
      </c>
      <c r="D9" s="38" t="s">
        <v>46</v>
      </c>
      <c r="E9" s="38" t="s">
        <v>32</v>
      </c>
      <c r="F9" s="38">
        <v>2</v>
      </c>
      <c r="G9" s="39" t="str">
        <f t="shared" si="0"/>
        <v/>
      </c>
      <c r="H9" s="40" t="str">
        <f t="shared" si="1"/>
        <v/>
      </c>
      <c r="I9" s="39"/>
      <c r="J9" s="39" t="str">
        <f t="shared" si="2"/>
        <v/>
      </c>
      <c r="K9" s="41" t="str">
        <f t="shared" si="3"/>
        <v/>
      </c>
      <c r="L9" s="42" t="s">
        <v>12</v>
      </c>
      <c r="M9" s="43">
        <v>0</v>
      </c>
      <c r="N9" s="38"/>
      <c r="O9" s="38" t="s">
        <v>16</v>
      </c>
      <c r="P9" s="38" t="s">
        <v>53</v>
      </c>
      <c r="U9">
        <v>50</v>
      </c>
      <c r="Y9" s="23"/>
    </row>
    <row r="10" spans="1:25" x14ac:dyDescent="0.25">
      <c r="A10" s="25"/>
      <c r="B10" s="38">
        <v>9</v>
      </c>
      <c r="C10" s="38" t="s">
        <v>20</v>
      </c>
      <c r="D10" s="38" t="s">
        <v>47</v>
      </c>
      <c r="E10" s="38" t="s">
        <v>32</v>
      </c>
      <c r="F10" s="38">
        <v>2</v>
      </c>
      <c r="G10" s="39" t="str">
        <f t="shared" si="0"/>
        <v/>
      </c>
      <c r="H10" s="40" t="str">
        <f t="shared" si="1"/>
        <v/>
      </c>
      <c r="I10" s="39"/>
      <c r="J10" s="39" t="str">
        <f t="shared" si="2"/>
        <v/>
      </c>
      <c r="K10" s="41" t="str">
        <f t="shared" si="3"/>
        <v/>
      </c>
      <c r="L10" s="42" t="s">
        <v>12</v>
      </c>
      <c r="M10" s="43">
        <v>0</v>
      </c>
      <c r="N10" s="38"/>
      <c r="O10" s="38" t="s">
        <v>16</v>
      </c>
      <c r="P10" s="38" t="s">
        <v>53</v>
      </c>
      <c r="U10">
        <v>60</v>
      </c>
    </row>
    <row r="11" spans="1:25" x14ac:dyDescent="0.25">
      <c r="A11" s="25"/>
      <c r="B11" s="38">
        <v>11</v>
      </c>
      <c r="C11" s="38" t="s">
        <v>7</v>
      </c>
      <c r="D11" s="38" t="s">
        <v>48</v>
      </c>
      <c r="E11" s="38" t="s">
        <v>32</v>
      </c>
      <c r="F11" s="38">
        <v>2</v>
      </c>
      <c r="G11" s="39" t="str">
        <f t="shared" si="0"/>
        <v/>
      </c>
      <c r="H11" s="40" t="str">
        <f t="shared" si="1"/>
        <v/>
      </c>
      <c r="I11" s="39"/>
      <c r="J11" s="39" t="str">
        <f t="shared" si="2"/>
        <v/>
      </c>
      <c r="K11" s="41" t="str">
        <f t="shared" si="3"/>
        <v/>
      </c>
      <c r="L11" s="42" t="s">
        <v>12</v>
      </c>
      <c r="M11" s="43">
        <v>0</v>
      </c>
      <c r="N11" s="38"/>
      <c r="O11" s="38" t="s">
        <v>16</v>
      </c>
      <c r="P11" s="38" t="s">
        <v>53</v>
      </c>
      <c r="U11">
        <v>70</v>
      </c>
      <c r="Y11" s="23"/>
    </row>
    <row r="12" spans="1:25" x14ac:dyDescent="0.25">
      <c r="A12" s="25"/>
      <c r="B12" s="38">
        <v>12</v>
      </c>
      <c r="C12" s="38" t="s">
        <v>10</v>
      </c>
      <c r="D12" s="38" t="s">
        <v>39</v>
      </c>
      <c r="E12" s="38" t="s">
        <v>23</v>
      </c>
      <c r="F12" s="38">
        <v>5</v>
      </c>
      <c r="G12" s="39" t="str">
        <f t="shared" si="0"/>
        <v/>
      </c>
      <c r="H12" s="40" t="str">
        <f t="shared" si="1"/>
        <v/>
      </c>
      <c r="I12" s="39"/>
      <c r="J12" s="39" t="str">
        <f t="shared" si="2"/>
        <v/>
      </c>
      <c r="K12" s="41" t="str">
        <f t="shared" si="3"/>
        <v/>
      </c>
      <c r="L12" s="42" t="s">
        <v>12</v>
      </c>
      <c r="M12" s="43">
        <v>0</v>
      </c>
      <c r="N12" s="38"/>
      <c r="O12" s="38"/>
      <c r="P12" s="38"/>
      <c r="U12">
        <v>80</v>
      </c>
    </row>
    <row r="13" spans="1:25" x14ac:dyDescent="0.25">
      <c r="A13" s="25"/>
      <c r="B13" s="38">
        <v>13</v>
      </c>
      <c r="C13" s="38" t="s">
        <v>9</v>
      </c>
      <c r="D13" s="38" t="s">
        <v>40</v>
      </c>
      <c r="E13" s="38" t="s">
        <v>23</v>
      </c>
      <c r="F13" s="38">
        <v>16</v>
      </c>
      <c r="G13" s="39" t="str">
        <f t="shared" si="0"/>
        <v/>
      </c>
      <c r="H13" s="40" t="str">
        <f t="shared" si="1"/>
        <v/>
      </c>
      <c r="I13" s="39"/>
      <c r="J13" s="39" t="str">
        <f t="shared" si="2"/>
        <v/>
      </c>
      <c r="K13" s="41" t="str">
        <f t="shared" si="3"/>
        <v/>
      </c>
      <c r="L13" s="42" t="s">
        <v>12</v>
      </c>
      <c r="M13" s="43">
        <v>0</v>
      </c>
      <c r="N13" s="38"/>
      <c r="O13" s="38"/>
      <c r="P13" s="38"/>
      <c r="U13">
        <v>90</v>
      </c>
    </row>
    <row r="14" spans="1:25" ht="15.75" thickBot="1" x14ac:dyDescent="0.3">
      <c r="A14" s="25"/>
      <c r="B14" s="38">
        <v>14</v>
      </c>
      <c r="C14" s="38" t="s">
        <v>70</v>
      </c>
      <c r="D14" s="38" t="s">
        <v>81</v>
      </c>
      <c r="E14" s="38" t="s">
        <v>23</v>
      </c>
      <c r="F14" s="38">
        <v>3</v>
      </c>
      <c r="G14" s="39" t="str">
        <f t="shared" si="0"/>
        <v/>
      </c>
      <c r="H14" s="40" t="str">
        <f t="shared" si="1"/>
        <v/>
      </c>
      <c r="I14" s="39"/>
      <c r="J14" s="39" t="str">
        <f t="shared" si="2"/>
        <v/>
      </c>
      <c r="K14" s="41" t="str">
        <f t="shared" si="3"/>
        <v/>
      </c>
      <c r="L14" s="42" t="s">
        <v>12</v>
      </c>
      <c r="M14" s="43"/>
      <c r="N14" s="38"/>
      <c r="O14" s="38"/>
      <c r="P14" s="38"/>
    </row>
    <row r="15" spans="1:25" x14ac:dyDescent="0.25">
      <c r="A15" s="25"/>
      <c r="B15" s="38">
        <v>15</v>
      </c>
      <c r="C15" s="38" t="s">
        <v>19</v>
      </c>
      <c r="D15" s="38" t="s">
        <v>82</v>
      </c>
      <c r="E15" s="38" t="s">
        <v>22</v>
      </c>
      <c r="F15" s="38">
        <v>5</v>
      </c>
      <c r="G15" s="39" t="str">
        <f t="shared" si="0"/>
        <v/>
      </c>
      <c r="H15" s="45"/>
      <c r="I15" s="39"/>
      <c r="J15" s="39" t="str">
        <f t="shared" si="2"/>
        <v/>
      </c>
      <c r="K15" s="41" t="str">
        <f t="shared" si="3"/>
        <v/>
      </c>
      <c r="L15" s="42" t="s">
        <v>12</v>
      </c>
      <c r="M15" s="43"/>
      <c r="N15" s="38"/>
      <c r="O15" s="38"/>
      <c r="P15" s="38"/>
      <c r="T15" s="21" t="s">
        <v>26</v>
      </c>
      <c r="U15" s="22">
        <v>44998</v>
      </c>
    </row>
    <row r="16" spans="1:25" x14ac:dyDescent="0.25">
      <c r="A16" s="25"/>
      <c r="B16" s="38">
        <v>16</v>
      </c>
      <c r="C16" s="38" t="s">
        <v>7</v>
      </c>
      <c r="D16" s="38" t="s">
        <v>83</v>
      </c>
      <c r="E16" s="38" t="s">
        <v>23</v>
      </c>
      <c r="F16" s="38">
        <v>10</v>
      </c>
      <c r="G16" s="39" t="str">
        <f t="shared" si="0"/>
        <v/>
      </c>
      <c r="H16" s="45"/>
      <c r="I16" s="39"/>
      <c r="J16" s="39" t="str">
        <f t="shared" si="2"/>
        <v/>
      </c>
      <c r="K16" s="41" t="str">
        <f t="shared" si="3"/>
        <v/>
      </c>
      <c r="L16" s="42" t="s">
        <v>12</v>
      </c>
      <c r="M16" s="43"/>
      <c r="N16" s="38"/>
      <c r="O16" s="38"/>
      <c r="P16" s="38"/>
      <c r="T16" s="23" t="s">
        <v>28</v>
      </c>
      <c r="U16" s="24">
        <f ca="1">NOW()</f>
        <v>45103.486133101855</v>
      </c>
    </row>
    <row r="17" spans="1:31" x14ac:dyDescent="0.25">
      <c r="A17" s="25"/>
      <c r="B17" s="38">
        <v>17</v>
      </c>
      <c r="C17" s="38" t="s">
        <v>7</v>
      </c>
      <c r="D17" s="38" t="s">
        <v>84</v>
      </c>
      <c r="E17" s="38" t="s">
        <v>32</v>
      </c>
      <c r="F17" s="38">
        <v>4</v>
      </c>
      <c r="G17" s="39" t="str">
        <f t="shared" si="0"/>
        <v/>
      </c>
      <c r="H17" s="45"/>
      <c r="I17" s="39"/>
      <c r="J17" s="39" t="str">
        <f t="shared" si="2"/>
        <v/>
      </c>
      <c r="K17" s="41" t="str">
        <f t="shared" si="3"/>
        <v/>
      </c>
      <c r="L17" s="42" t="s">
        <v>12</v>
      </c>
      <c r="M17" s="43"/>
      <c r="N17" s="38"/>
      <c r="O17" s="38"/>
      <c r="P17" s="38"/>
      <c r="T17" s="23" t="s">
        <v>27</v>
      </c>
      <c r="U17" s="24">
        <v>45265</v>
      </c>
    </row>
    <row r="18" spans="1:31" x14ac:dyDescent="0.25">
      <c r="A18" s="25"/>
      <c r="B18" s="38">
        <v>18</v>
      </c>
      <c r="C18" s="38" t="s">
        <v>7</v>
      </c>
      <c r="D18" s="38" t="s">
        <v>85</v>
      </c>
      <c r="E18" s="38" t="s">
        <v>24</v>
      </c>
      <c r="F18" s="38">
        <v>7</v>
      </c>
      <c r="G18" s="39" t="str">
        <f t="shared" si="0"/>
        <v/>
      </c>
      <c r="H18" s="45"/>
      <c r="I18" s="39"/>
      <c r="J18" s="39" t="str">
        <f t="shared" si="2"/>
        <v/>
      </c>
      <c r="K18" s="41" t="str">
        <f t="shared" si="3"/>
        <v/>
      </c>
      <c r="L18" s="42" t="s">
        <v>12</v>
      </c>
      <c r="M18" s="43"/>
      <c r="N18" s="38"/>
      <c r="O18" s="38"/>
      <c r="P18" s="38"/>
      <c r="T18" s="25"/>
      <c r="U18" s="26"/>
    </row>
    <row r="19" spans="1:31" x14ac:dyDescent="0.25">
      <c r="A19" s="25"/>
      <c r="B19" s="38">
        <v>19</v>
      </c>
      <c r="C19" s="38" t="s">
        <v>19</v>
      </c>
      <c r="D19" s="38" t="s">
        <v>87</v>
      </c>
      <c r="E19" s="38" t="s">
        <v>23</v>
      </c>
      <c r="F19" s="38">
        <v>5</v>
      </c>
      <c r="G19" s="39" t="str">
        <f t="shared" si="0"/>
        <v/>
      </c>
      <c r="H19" s="45"/>
      <c r="I19" s="39"/>
      <c r="J19" s="39" t="str">
        <f t="shared" si="2"/>
        <v/>
      </c>
      <c r="K19" s="41" t="str">
        <f t="shared" si="3"/>
        <v/>
      </c>
      <c r="L19" s="42" t="s">
        <v>12</v>
      </c>
      <c r="M19" s="43"/>
      <c r="N19" s="38"/>
      <c r="O19" s="38"/>
      <c r="P19" s="38"/>
      <c r="T19" s="23" t="s">
        <v>31</v>
      </c>
      <c r="U19" s="27">
        <f ca="1">ROUND(U17-U16,0)</f>
        <v>162</v>
      </c>
    </row>
    <row r="20" spans="1:31" x14ac:dyDescent="0.25">
      <c r="A20" s="25"/>
      <c r="B20" s="38">
        <v>20</v>
      </c>
      <c r="C20" s="38" t="s">
        <v>8</v>
      </c>
      <c r="D20" s="38" t="s">
        <v>88</v>
      </c>
      <c r="E20" s="38" t="s">
        <v>22</v>
      </c>
      <c r="F20" s="38">
        <v>6</v>
      </c>
      <c r="G20" s="39" t="str">
        <f t="shared" si="0"/>
        <v/>
      </c>
      <c r="H20" s="45"/>
      <c r="I20" s="39"/>
      <c r="J20" s="39" t="str">
        <f t="shared" si="2"/>
        <v/>
      </c>
      <c r="K20" s="41" t="str">
        <f t="shared" si="3"/>
        <v/>
      </c>
      <c r="L20" s="42" t="s">
        <v>12</v>
      </c>
      <c r="M20" s="43"/>
      <c r="N20" s="38"/>
      <c r="O20" s="38"/>
      <c r="P20" s="38"/>
      <c r="T20" s="23" t="s">
        <v>34</v>
      </c>
      <c r="U20" s="26">
        <f>U17 - U15</f>
        <v>267</v>
      </c>
    </row>
    <row r="21" spans="1:31" x14ac:dyDescent="0.25">
      <c r="A21" s="25"/>
      <c r="B21" s="38">
        <v>21</v>
      </c>
      <c r="C21" s="38" t="s">
        <v>19</v>
      </c>
      <c r="D21" s="38" t="s">
        <v>89</v>
      </c>
      <c r="E21" s="38" t="s">
        <v>32</v>
      </c>
      <c r="F21" s="38">
        <v>7</v>
      </c>
      <c r="G21" s="39" t="str">
        <f t="shared" si="0"/>
        <v/>
      </c>
      <c r="H21" s="45"/>
      <c r="I21" s="39"/>
      <c r="J21" s="39" t="str">
        <f t="shared" si="2"/>
        <v/>
      </c>
      <c r="K21" s="41" t="str">
        <f t="shared" si="3"/>
        <v/>
      </c>
      <c r="L21" s="42" t="s">
        <v>12</v>
      </c>
      <c r="M21" s="43"/>
      <c r="N21" s="38"/>
      <c r="O21" s="38"/>
      <c r="P21" s="38"/>
      <c r="T21" s="25"/>
      <c r="U21" s="26"/>
    </row>
    <row r="22" spans="1:31" ht="15.75" thickBot="1" x14ac:dyDescent="0.3">
      <c r="A22" s="25"/>
      <c r="B22" s="38">
        <v>22</v>
      </c>
      <c r="C22" s="38" t="s">
        <v>19</v>
      </c>
      <c r="D22" s="38" t="s">
        <v>90</v>
      </c>
      <c r="E22" s="38" t="s">
        <v>24</v>
      </c>
      <c r="F22" s="38">
        <v>2</v>
      </c>
      <c r="G22" s="39" t="str">
        <f t="shared" si="0"/>
        <v/>
      </c>
      <c r="H22" s="45"/>
      <c r="I22" s="39"/>
      <c r="J22" s="39" t="str">
        <f t="shared" si="2"/>
        <v/>
      </c>
      <c r="K22" s="41" t="str">
        <f t="shared" si="3"/>
        <v/>
      </c>
      <c r="L22" s="42" t="s">
        <v>12</v>
      </c>
      <c r="M22" s="43"/>
      <c r="N22" s="38"/>
      <c r="O22" s="38"/>
      <c r="P22" s="38"/>
      <c r="T22" s="28" t="s">
        <v>68</v>
      </c>
      <c r="U22" s="29" t="str">
        <f ca="1">IF(U19&gt; 0, "In-time", "Out of time")</f>
        <v>In-time</v>
      </c>
    </row>
    <row r="23" spans="1:31" x14ac:dyDescent="0.25">
      <c r="A23" s="25"/>
      <c r="B23" s="38">
        <v>23</v>
      </c>
      <c r="C23" s="38"/>
      <c r="D23" s="38"/>
      <c r="E23" s="38"/>
      <c r="F23" s="38"/>
      <c r="G23" s="39" t="str">
        <f t="shared" ref="G23:G32" si="4">IF(L23="InProgress",IF(G23="",$U$16,G23),IF(L23="Complete",G23,""))</f>
        <v/>
      </c>
      <c r="H23" s="45"/>
      <c r="I23" s="39"/>
      <c r="J23" s="39"/>
      <c r="K23" s="41" t="str">
        <f t="shared" si="3"/>
        <v/>
      </c>
      <c r="L23" s="42" t="s">
        <v>12</v>
      </c>
      <c r="M23" s="43"/>
      <c r="N23" s="38"/>
      <c r="O23" s="38"/>
      <c r="P23" s="38"/>
      <c r="T23" s="23" t="s">
        <v>78</v>
      </c>
      <c r="U23">
        <f ca="1">$U$23+ INDEX(LogTable[Time_Taken],2)</f>
        <v>3151.3212638848927</v>
      </c>
      <c r="X23" s="30" t="s">
        <v>74</v>
      </c>
      <c r="Y23" s="31" t="str">
        <f>IF(INDEX(LogTable[Status], 2)="Complete", INDEX(LogTable[Name], 2) &amp; " Finished " &amp; INDEX(LogTable[Structural_name], 2), $Y$23)</f>
        <v>Jola Finished Access_1</v>
      </c>
    </row>
    <row r="24" spans="1:31" x14ac:dyDescent="0.25">
      <c r="A24" s="25"/>
      <c r="B24" s="38">
        <v>24</v>
      </c>
      <c r="C24" s="38"/>
      <c r="D24" s="38"/>
      <c r="E24" s="38"/>
      <c r="F24" s="38"/>
      <c r="G24" s="39" t="str">
        <f t="shared" si="4"/>
        <v/>
      </c>
      <c r="H24" s="45"/>
      <c r="I24" s="39"/>
      <c r="J24" s="39"/>
      <c r="K24" s="41" t="str">
        <f t="shared" si="3"/>
        <v/>
      </c>
      <c r="L24" s="42" t="s">
        <v>12</v>
      </c>
      <c r="M24" s="43"/>
      <c r="N24" s="38"/>
      <c r="O24" s="38"/>
      <c r="P24" s="38"/>
      <c r="T24" s="23" t="s">
        <v>79</v>
      </c>
      <c r="U24">
        <f ca="1">$U$24+INDEX(LogTable[Alloted_Time],2)</f>
        <v>4831</v>
      </c>
      <c r="X24" s="25" t="s">
        <v>75</v>
      </c>
      <c r="Y24" s="26" t="str">
        <f ca="1">IF(INDEX(LogTable[Status], 2)="Inprogress", INDEX(LogTable[Name], 2) &amp; " started " &amp; INDEX(LogTable[Structural_name], 2), $Y$24)</f>
        <v>Ebube started Ground</v>
      </c>
    </row>
    <row r="25" spans="1:31" ht="15.75" thickBot="1" x14ac:dyDescent="0.3">
      <c r="A25" s="25"/>
      <c r="B25" s="38">
        <v>25</v>
      </c>
      <c r="C25" s="38"/>
      <c r="D25" s="38"/>
      <c r="E25" s="38"/>
      <c r="F25" s="38"/>
      <c r="G25" s="39" t="str">
        <f t="shared" si="4"/>
        <v/>
      </c>
      <c r="H25" s="45"/>
      <c r="I25" s="39"/>
      <c r="J25" s="39"/>
      <c r="K25" s="41" t="str">
        <f t="shared" si="3"/>
        <v/>
      </c>
      <c r="L25" s="42" t="s">
        <v>12</v>
      </c>
      <c r="M25" s="43"/>
      <c r="N25" s="38"/>
      <c r="O25" s="38"/>
      <c r="P25" s="38"/>
      <c r="X25" s="32" t="s">
        <v>76</v>
      </c>
      <c r="Y25" s="29" t="str">
        <f ca="1">IF(INDEX(LogTable[Comment], 2) &lt;&gt; "Please Add Comment", IF(INDEX(LogTable[Comment], 2) &lt;&gt; "", INDEX(LogTable[Comment], 2), $Y$25), $Y$25)</f>
        <v>everything is going smoothly</v>
      </c>
    </row>
    <row r="26" spans="1:31" x14ac:dyDescent="0.25">
      <c r="A26" s="25"/>
      <c r="B26" s="38">
        <v>26</v>
      </c>
      <c r="C26" s="38"/>
      <c r="D26" s="38"/>
      <c r="E26" s="38"/>
      <c r="F26" s="38"/>
      <c r="G26" s="39" t="str">
        <f t="shared" si="4"/>
        <v/>
      </c>
      <c r="H26" s="45"/>
      <c r="I26" s="39"/>
      <c r="J26" s="39"/>
      <c r="K26" s="41" t="str">
        <f t="shared" si="3"/>
        <v/>
      </c>
      <c r="L26" s="42" t="s">
        <v>12</v>
      </c>
      <c r="M26" s="43"/>
      <c r="N26" s="38"/>
      <c r="O26" s="38"/>
      <c r="P26" s="38"/>
    </row>
    <row r="27" spans="1:31" x14ac:dyDescent="0.25">
      <c r="A27" s="25"/>
      <c r="B27" s="38">
        <v>27</v>
      </c>
      <c r="C27" s="38"/>
      <c r="D27" s="38"/>
      <c r="E27" s="38"/>
      <c r="F27" s="38"/>
      <c r="G27" s="39" t="str">
        <f t="shared" si="4"/>
        <v/>
      </c>
      <c r="H27" s="45"/>
      <c r="I27" s="39"/>
      <c r="J27" s="39"/>
      <c r="K27" s="41" t="str">
        <f t="shared" si="3"/>
        <v/>
      </c>
      <c r="L27" s="42" t="s">
        <v>12</v>
      </c>
      <c r="M27" s="43"/>
      <c r="N27" s="38"/>
      <c r="O27" s="38"/>
      <c r="P27" s="38"/>
      <c r="S27" s="1"/>
      <c r="T27" s="1" t="s">
        <v>71</v>
      </c>
      <c r="U27" s="1" t="s">
        <v>4</v>
      </c>
      <c r="V27" s="1" t="s">
        <v>72</v>
      </c>
      <c r="W27" s="1" t="s">
        <v>73</v>
      </c>
      <c r="X27" s="20" t="s">
        <v>27</v>
      </c>
      <c r="Y27" s="1" t="s">
        <v>33</v>
      </c>
      <c r="Z27" s="1" t="s">
        <v>36</v>
      </c>
      <c r="AA27" s="1" t="s">
        <v>57</v>
      </c>
      <c r="AB27" s="1" t="s">
        <v>86</v>
      </c>
      <c r="AC27" s="1" t="s">
        <v>80</v>
      </c>
      <c r="AD27" s="1" t="s">
        <v>91</v>
      </c>
      <c r="AE27" s="1" t="s">
        <v>92</v>
      </c>
    </row>
    <row r="28" spans="1:31" x14ac:dyDescent="0.25">
      <c r="A28" s="25"/>
      <c r="B28" s="38">
        <v>28</v>
      </c>
      <c r="C28" s="38"/>
      <c r="D28" s="38"/>
      <c r="E28" s="38"/>
      <c r="F28" s="38"/>
      <c r="G28" s="39" t="str">
        <f t="shared" si="4"/>
        <v/>
      </c>
      <c r="H28" s="45"/>
      <c r="I28" s="39"/>
      <c r="J28" s="39"/>
      <c r="K28" s="41" t="str">
        <f t="shared" si="3"/>
        <v/>
      </c>
      <c r="L28" s="42" t="s">
        <v>12</v>
      </c>
      <c r="M28" s="43"/>
      <c r="N28" s="38"/>
      <c r="O28" s="38"/>
      <c r="P28" s="38"/>
      <c r="T28" s="1"/>
      <c r="U28" s="1"/>
      <c r="V28" s="1"/>
      <c r="W28" s="1"/>
      <c r="X28" s="20"/>
      <c r="Y28" s="1"/>
      <c r="Z28" s="1"/>
      <c r="AA28" s="1"/>
      <c r="AB28" s="1">
        <f>IF(LogTable[[#This Row],[Status]]="InProgress",LogTable[[#This Row],[Alloted_Time]],0)</f>
        <v>0</v>
      </c>
      <c r="AC28" s="1"/>
      <c r="AD28" s="46">
        <f xml:space="preserve"> IF(LogTable[[#This Row],[Time_Taken]]="", 0,LogTable[[#This Row],[Time_Taken]])</f>
        <v>0</v>
      </c>
      <c r="AE28" s="1"/>
    </row>
    <row r="29" spans="1:31" x14ac:dyDescent="0.25">
      <c r="A29" s="25"/>
      <c r="B29" s="38">
        <v>29</v>
      </c>
      <c r="C29" s="38"/>
      <c r="D29" s="38"/>
      <c r="E29" s="38"/>
      <c r="F29" s="38"/>
      <c r="G29" s="39" t="str">
        <f t="shared" si="4"/>
        <v/>
      </c>
      <c r="H29" s="45"/>
      <c r="I29" s="39"/>
      <c r="J29" s="39"/>
      <c r="K29" s="41" t="str">
        <f t="shared" si="3"/>
        <v/>
      </c>
      <c r="L29" s="42" t="s">
        <v>12</v>
      </c>
      <c r="M29" s="43"/>
      <c r="N29" s="38"/>
      <c r="O29" s="38"/>
      <c r="P29" s="38"/>
      <c r="T29" s="1" t="s">
        <v>32</v>
      </c>
      <c r="U29" s="1" t="s">
        <v>13</v>
      </c>
      <c r="V29" s="1" t="s">
        <v>44</v>
      </c>
      <c r="W29" s="20">
        <v>45099.525752314818</v>
      </c>
      <c r="X29" s="20">
        <v>45099.587523148148</v>
      </c>
      <c r="Y29" s="1" t="s">
        <v>53</v>
      </c>
      <c r="Z29" s="1">
        <v>1.4825472221709788</v>
      </c>
      <c r="AA29" s="1">
        <v>1</v>
      </c>
      <c r="AB29" s="1">
        <f>IF(LogTable[[#This Row],[Status]]="InProgress",LogTable[[#This Row],[Alloted_Time]],0)</f>
        <v>0</v>
      </c>
      <c r="AC29" s="1">
        <v>16</v>
      </c>
      <c r="AD29" s="46">
        <f xml:space="preserve"> IF(LogTable[[#This Row],[Time_Taken]]="", 0,LogTable[[#This Row],[Time_Taken]])</f>
        <v>1.4825472221709788</v>
      </c>
      <c r="AE29" s="1">
        <v>3</v>
      </c>
    </row>
    <row r="30" spans="1:31" x14ac:dyDescent="0.25">
      <c r="A30" s="25"/>
      <c r="B30" s="38">
        <v>30</v>
      </c>
      <c r="C30" s="38"/>
      <c r="D30" s="38"/>
      <c r="E30" s="38"/>
      <c r="F30" s="38"/>
      <c r="G30" s="39" t="str">
        <f t="shared" si="4"/>
        <v/>
      </c>
      <c r="H30" s="45"/>
      <c r="I30" s="39"/>
      <c r="J30" s="39"/>
      <c r="K30" s="41" t="str">
        <f t="shared" si="3"/>
        <v/>
      </c>
      <c r="L30" s="42"/>
      <c r="M30" s="43"/>
      <c r="N30" s="38"/>
      <c r="O30" s="38"/>
      <c r="P30" s="38"/>
      <c r="T30" s="1" t="s">
        <v>23</v>
      </c>
      <c r="U30" s="1" t="s">
        <v>13</v>
      </c>
      <c r="V30" s="1" t="s">
        <v>9</v>
      </c>
      <c r="W30" s="20">
        <v>45099.525717592594</v>
      </c>
      <c r="X30" s="20">
        <v>45099.580393518518</v>
      </c>
      <c r="Y30" s="1" t="s">
        <v>93</v>
      </c>
      <c r="Z30" s="1">
        <v>1.3122500001336448</v>
      </c>
      <c r="AA30" s="1">
        <v>1</v>
      </c>
      <c r="AB30" s="1">
        <f>IF(LogTable[[#This Row],[Status]]="InProgress",LogTable[[#This Row],[Alloted_Time]],0)</f>
        <v>0</v>
      </c>
      <c r="AC30" s="1">
        <v>16</v>
      </c>
      <c r="AD30" s="46">
        <f xml:space="preserve"> IF(LogTable[[#This Row],[Time_Taken]]="", 0,LogTable[[#This Row],[Time_Taken]])</f>
        <v>1.3122500001336448</v>
      </c>
      <c r="AE30" s="1">
        <v>2</v>
      </c>
    </row>
    <row r="31" spans="1:31" x14ac:dyDescent="0.25">
      <c r="A31" s="25"/>
      <c r="B31" s="38">
        <v>31</v>
      </c>
      <c r="C31" s="38"/>
      <c r="D31" s="38"/>
      <c r="E31" s="38"/>
      <c r="F31" s="38"/>
      <c r="G31" s="39" t="str">
        <f t="shared" si="4"/>
        <v/>
      </c>
      <c r="H31" s="45"/>
      <c r="I31" s="39"/>
      <c r="J31" s="39"/>
      <c r="K31" s="41" t="str">
        <f t="shared" si="3"/>
        <v/>
      </c>
      <c r="L31" s="42"/>
      <c r="M31" s="43"/>
      <c r="N31" s="38"/>
      <c r="O31" s="38"/>
      <c r="P31" s="38"/>
      <c r="T31" s="1" t="s">
        <v>22</v>
      </c>
      <c r="U31" s="1" t="s">
        <v>13</v>
      </c>
      <c r="V31" s="1" t="s">
        <v>10</v>
      </c>
      <c r="W31" s="20">
        <v>45099.525636574072</v>
      </c>
      <c r="X31" s="20">
        <v>45099.580324074072</v>
      </c>
      <c r="Y31" s="1" t="s">
        <v>53</v>
      </c>
      <c r="Z31" s="1">
        <v>1.3125</v>
      </c>
      <c r="AA31" s="1">
        <v>8</v>
      </c>
      <c r="AB31" s="1">
        <f>IF(LogTable[[#This Row],[Status]]="InProgress",LogTable[[#This Row],[Alloted_Time]],0)</f>
        <v>0</v>
      </c>
      <c r="AC31" s="1">
        <v>16</v>
      </c>
      <c r="AD31" s="46">
        <f xml:space="preserve"> IF(LogTable[[#This Row],[Time_Taken]]="", 0,LogTable[[#This Row],[Time_Taken]])</f>
        <v>1.3125</v>
      </c>
      <c r="AE31" s="1">
        <v>1</v>
      </c>
    </row>
    <row r="32" spans="1:31" x14ac:dyDescent="0.25">
      <c r="A32" s="25"/>
      <c r="B32" s="38">
        <v>32</v>
      </c>
      <c r="C32" s="38"/>
      <c r="D32" s="38"/>
      <c r="E32" s="38"/>
      <c r="F32" s="38"/>
      <c r="G32" s="39" t="str">
        <f t="shared" si="4"/>
        <v/>
      </c>
      <c r="H32" s="45"/>
      <c r="I32" s="39"/>
      <c r="J32" s="39"/>
      <c r="K32" s="41" t="str">
        <f t="shared" si="3"/>
        <v/>
      </c>
      <c r="L32" s="42"/>
      <c r="M32" s="43"/>
      <c r="N32" s="38"/>
      <c r="O32" s="38"/>
      <c r="P32" s="38"/>
      <c r="T32" s="1" t="s">
        <v>23</v>
      </c>
      <c r="U32" s="1" t="s">
        <v>55</v>
      </c>
      <c r="V32" s="1" t="s">
        <v>9</v>
      </c>
      <c r="W32" s="20">
        <v>45099.525717592594</v>
      </c>
      <c r="X32" s="20"/>
      <c r="Y32" s="1" t="s">
        <v>93</v>
      </c>
      <c r="Z32" s="1"/>
      <c r="AA32" s="1">
        <v>1</v>
      </c>
      <c r="AB32" s="1">
        <f>IF(LogTable[[#This Row],[Status]]="InProgress",LogTable[[#This Row],[Alloted_Time]],0)</f>
        <v>1</v>
      </c>
      <c r="AC32" s="1">
        <v>16</v>
      </c>
      <c r="AD32" s="46">
        <f xml:space="preserve"> IF(LogTable[[#This Row],[Time_Taken]]="", 0,LogTable[[#This Row],[Time_Taken]])</f>
        <v>0</v>
      </c>
      <c r="AE32" s="1">
        <v>0</v>
      </c>
    </row>
    <row r="33" spans="1:31" x14ac:dyDescent="0.25">
      <c r="A33" s="25"/>
      <c r="B33" s="38">
        <v>33</v>
      </c>
      <c r="C33" s="38"/>
      <c r="D33" s="38"/>
      <c r="E33" s="38"/>
      <c r="F33" s="38"/>
      <c r="G33" s="39" t="str">
        <f t="shared" ref="G33:G56" si="5">IF(L33="InProgress",IF(G33="",$U$16,G33),IF(L33="Complete",G33,""))</f>
        <v/>
      </c>
      <c r="H33" s="45"/>
      <c r="I33" s="39"/>
      <c r="J33" s="39"/>
      <c r="K33" s="41" t="str">
        <f t="shared" si="3"/>
        <v/>
      </c>
      <c r="L33" s="42"/>
      <c r="M33" s="43"/>
      <c r="N33" s="38"/>
      <c r="O33" s="38"/>
      <c r="P33" s="38"/>
      <c r="T33" s="1" t="s">
        <v>24</v>
      </c>
      <c r="U33" s="1" t="s">
        <v>55</v>
      </c>
      <c r="V33" s="1" t="s">
        <v>45</v>
      </c>
      <c r="W33" s="20">
        <v>45099.526782407411</v>
      </c>
      <c r="X33" s="20"/>
      <c r="Y33" s="1" t="s">
        <v>53</v>
      </c>
      <c r="Z33" s="1"/>
      <c r="AA33" s="1">
        <v>4</v>
      </c>
      <c r="AB33" s="1">
        <f>IF(LogTable[[#This Row],[Status]]="InProgress",LogTable[[#This Row],[Alloted_Time]],0)</f>
        <v>4</v>
      </c>
      <c r="AC33" s="1">
        <v>15</v>
      </c>
      <c r="AD33" s="46">
        <f xml:space="preserve"> IF(LogTable[[#This Row],[Time_Taken]]="", 0,LogTable[[#This Row],[Time_Taken]])</f>
        <v>0</v>
      </c>
      <c r="AE33" s="1">
        <v>0</v>
      </c>
    </row>
    <row r="34" spans="1:31" x14ac:dyDescent="0.25">
      <c r="A34" s="25"/>
      <c r="B34" s="38">
        <v>34</v>
      </c>
      <c r="C34" s="38"/>
      <c r="D34" s="38"/>
      <c r="E34" s="38"/>
      <c r="F34" s="38"/>
      <c r="G34" s="39" t="str">
        <f t="shared" si="5"/>
        <v/>
      </c>
      <c r="H34" s="45"/>
      <c r="I34" s="39"/>
      <c r="J34" s="39"/>
      <c r="K34" s="41" t="str">
        <f t="shared" si="3"/>
        <v/>
      </c>
      <c r="L34" s="42"/>
      <c r="M34" s="43"/>
      <c r="N34" s="38"/>
      <c r="O34" s="38"/>
      <c r="P34" s="38"/>
      <c r="T34" s="1" t="s">
        <v>32</v>
      </c>
      <c r="U34" s="1" t="s">
        <v>55</v>
      </c>
      <c r="V34" s="1" t="s">
        <v>41</v>
      </c>
      <c r="W34" s="20">
        <v>45099.525983796295</v>
      </c>
      <c r="X34" s="20"/>
      <c r="Y34" s="1" t="s">
        <v>53</v>
      </c>
      <c r="Z34" s="1"/>
      <c r="AA34" s="1">
        <v>1</v>
      </c>
      <c r="AB34" s="1">
        <f>IF(LogTable[[#This Row],[Status]]="InProgress",LogTable[[#This Row],[Alloted_Time]],0)</f>
        <v>1</v>
      </c>
      <c r="AC34" s="1">
        <v>11</v>
      </c>
      <c r="AD34" s="46">
        <f xml:space="preserve"> IF(LogTable[[#This Row],[Time_Taken]]="", 0,LogTable[[#This Row],[Time_Taken]])</f>
        <v>0</v>
      </c>
      <c r="AE34" s="1">
        <v>0</v>
      </c>
    </row>
    <row r="35" spans="1:31" x14ac:dyDescent="0.25">
      <c r="A35" s="25"/>
      <c r="B35" s="38">
        <v>35</v>
      </c>
      <c r="C35" s="38"/>
      <c r="D35" s="38"/>
      <c r="E35" s="38"/>
      <c r="F35" s="38"/>
      <c r="G35" s="39" t="str">
        <f t="shared" si="5"/>
        <v/>
      </c>
      <c r="H35" s="45"/>
      <c r="I35" s="39"/>
      <c r="J35" s="39"/>
      <c r="K35" s="41" t="str">
        <f t="shared" si="3"/>
        <v/>
      </c>
      <c r="L35" s="42"/>
      <c r="M35" s="43"/>
      <c r="N35" s="38"/>
      <c r="O35" s="38"/>
      <c r="P35" s="38"/>
      <c r="T35" s="1" t="s">
        <v>32</v>
      </c>
      <c r="U35" s="1" t="s">
        <v>55</v>
      </c>
      <c r="V35" s="1" t="s">
        <v>44</v>
      </c>
      <c r="W35" s="20">
        <v>45099.525752314818</v>
      </c>
      <c r="X35" s="20"/>
      <c r="Y35" s="1" t="s">
        <v>53</v>
      </c>
      <c r="Z35" s="1"/>
      <c r="AA35" s="1">
        <v>1</v>
      </c>
      <c r="AB35" s="1">
        <f>IF(LogTable[[#This Row],[Status]]="InProgress",LogTable[[#This Row],[Alloted_Time]],0)</f>
        <v>1</v>
      </c>
      <c r="AC35" s="1">
        <v>10</v>
      </c>
      <c r="AD35" s="46">
        <f xml:space="preserve"> IF(LogTable[[#This Row],[Time_Taken]]="", 0,LogTable[[#This Row],[Time_Taken]])</f>
        <v>0</v>
      </c>
      <c r="AE35" s="1">
        <v>0</v>
      </c>
    </row>
    <row r="36" spans="1:31" x14ac:dyDescent="0.25">
      <c r="A36" s="25"/>
      <c r="B36" s="38">
        <v>36</v>
      </c>
      <c r="C36" s="38"/>
      <c r="D36" s="38"/>
      <c r="E36" s="38"/>
      <c r="F36" s="38"/>
      <c r="G36" s="39" t="str">
        <f t="shared" si="5"/>
        <v/>
      </c>
      <c r="H36" s="45"/>
      <c r="I36" s="39"/>
      <c r="J36" s="39"/>
      <c r="K36" s="41" t="str">
        <f t="shared" si="3"/>
        <v/>
      </c>
      <c r="L36" s="42"/>
      <c r="M36" s="43"/>
      <c r="N36" s="38"/>
      <c r="O36" s="38"/>
      <c r="P36" s="38"/>
      <c r="T36" s="1" t="s">
        <v>23</v>
      </c>
      <c r="U36" s="1" t="s">
        <v>55</v>
      </c>
      <c r="V36" s="1" t="s">
        <v>9</v>
      </c>
      <c r="W36" s="20">
        <v>45099.525717592594</v>
      </c>
      <c r="X36" s="20"/>
      <c r="Y36" s="1" t="s">
        <v>77</v>
      </c>
      <c r="Z36" s="1"/>
      <c r="AA36" s="1">
        <v>1</v>
      </c>
      <c r="AB36" s="1">
        <f>IF(LogTable[[#This Row],[Status]]="InProgress",LogTable[[#This Row],[Alloted_Time]],0)</f>
        <v>1</v>
      </c>
      <c r="AC36" s="1">
        <v>9</v>
      </c>
      <c r="AD36" s="46">
        <f xml:space="preserve"> IF(LogTable[[#This Row],[Time_Taken]]="", 0,LogTable[[#This Row],[Time_Taken]])</f>
        <v>0</v>
      </c>
      <c r="AE36" s="1">
        <v>0</v>
      </c>
    </row>
    <row r="37" spans="1:31" x14ac:dyDescent="0.25">
      <c r="A37" s="25"/>
      <c r="B37" s="38">
        <v>37</v>
      </c>
      <c r="C37" s="38"/>
      <c r="D37" s="38"/>
      <c r="E37" s="38"/>
      <c r="F37" s="38"/>
      <c r="G37" s="39" t="str">
        <f t="shared" si="5"/>
        <v/>
      </c>
      <c r="H37" s="45"/>
      <c r="I37" s="39"/>
      <c r="J37" s="39"/>
      <c r="K37" s="41" t="str">
        <f t="shared" si="3"/>
        <v/>
      </c>
      <c r="L37" s="42"/>
      <c r="M37" s="43"/>
      <c r="N37" s="38"/>
      <c r="O37" s="38"/>
      <c r="P37" s="38"/>
      <c r="T37" s="1" t="s">
        <v>22</v>
      </c>
      <c r="U37" s="1" t="s">
        <v>55</v>
      </c>
      <c r="V37" s="1" t="s">
        <v>10</v>
      </c>
      <c r="W37" s="20">
        <v>45099.525636574072</v>
      </c>
      <c r="X37" s="20"/>
      <c r="Y37" s="1" t="s">
        <v>53</v>
      </c>
      <c r="Z37" s="1"/>
      <c r="AA37" s="1">
        <v>8</v>
      </c>
      <c r="AB37" s="1">
        <f>IF(LogTable[[#This Row],[Status]]="InProgress",LogTable[[#This Row],[Alloted_Time]],0)</f>
        <v>8</v>
      </c>
      <c r="AC37" s="1">
        <v>8</v>
      </c>
      <c r="AD37" s="46">
        <f xml:space="preserve"> IF(LogTable[[#This Row],[Time_Taken]]="", 0,LogTable[[#This Row],[Time_Taken]])</f>
        <v>0</v>
      </c>
      <c r="AE37" s="1">
        <v>0</v>
      </c>
    </row>
    <row r="38" spans="1:31" x14ac:dyDescent="0.25">
      <c r="A38" s="25"/>
      <c r="B38" s="38">
        <v>38</v>
      </c>
      <c r="C38" s="38"/>
      <c r="D38" s="38"/>
      <c r="E38" s="38"/>
      <c r="F38" s="38"/>
      <c r="G38" s="39" t="str">
        <f t="shared" si="5"/>
        <v/>
      </c>
      <c r="H38" s="45"/>
      <c r="I38" s="39"/>
      <c r="J38" s="39"/>
      <c r="K38" s="41" t="str">
        <f t="shared" si="3"/>
        <v/>
      </c>
      <c r="L38" s="42"/>
      <c r="M38" s="43"/>
      <c r="N38" s="38"/>
      <c r="O38" s="38"/>
      <c r="P38" s="38"/>
      <c r="T38" s="1"/>
      <c r="U38" s="1"/>
      <c r="V38" s="1"/>
      <c r="W38" s="1"/>
      <c r="X38" s="20"/>
      <c r="Y38" s="1"/>
      <c r="Z38" s="1"/>
      <c r="AA38" s="1"/>
      <c r="AB38" s="1"/>
      <c r="AC38" s="1"/>
      <c r="AD38" s="46"/>
      <c r="AE38" s="1"/>
    </row>
    <row r="39" spans="1:31" x14ac:dyDescent="0.25">
      <c r="A39" s="25"/>
      <c r="B39" s="38">
        <v>39</v>
      </c>
      <c r="C39" s="38"/>
      <c r="D39" s="38"/>
      <c r="E39" s="38"/>
      <c r="F39" s="38"/>
      <c r="G39" s="39" t="str">
        <f t="shared" si="5"/>
        <v/>
      </c>
      <c r="H39" s="45"/>
      <c r="I39" s="39"/>
      <c r="J39" s="39"/>
      <c r="K39" s="41" t="str">
        <f t="shared" si="3"/>
        <v/>
      </c>
      <c r="L39" s="42"/>
      <c r="M39" s="43"/>
      <c r="N39" s="38"/>
      <c r="O39" s="38"/>
      <c r="P39" s="38"/>
      <c r="T39" s="1"/>
      <c r="U39" s="1"/>
      <c r="V39" s="1"/>
      <c r="W39" s="20"/>
      <c r="X39" s="20"/>
      <c r="Y39" s="1"/>
      <c r="Z39" s="1"/>
      <c r="AA39" s="1"/>
      <c r="AB39" s="1"/>
      <c r="AC39" s="1"/>
      <c r="AD39" s="46"/>
      <c r="AE39" s="1"/>
    </row>
    <row r="40" spans="1:31" x14ac:dyDescent="0.25">
      <c r="A40" s="25"/>
      <c r="B40" s="38">
        <v>40</v>
      </c>
      <c r="C40" s="38"/>
      <c r="D40" s="38"/>
      <c r="E40" s="38"/>
      <c r="F40" s="38"/>
      <c r="G40" s="39" t="str">
        <f t="shared" si="5"/>
        <v/>
      </c>
      <c r="H40" s="45"/>
      <c r="I40" s="39"/>
      <c r="J40" s="39"/>
      <c r="K40" s="41" t="str">
        <f t="shared" si="3"/>
        <v/>
      </c>
      <c r="L40" s="42"/>
      <c r="M40" s="43"/>
      <c r="N40" s="38"/>
      <c r="O40" s="38"/>
      <c r="P40" s="38"/>
      <c r="T40" t="s">
        <v>15</v>
      </c>
      <c r="Z40">
        <f>SUBTOTAL(109,LogTable[Time_Taken])</f>
        <v>4.1072972223046236</v>
      </c>
      <c r="AA40">
        <f>SUBTOTAL(109,LogTable[Alloted_Time])</f>
        <v>26</v>
      </c>
    </row>
    <row r="41" spans="1:31" x14ac:dyDescent="0.25">
      <c r="A41" s="25"/>
      <c r="B41" s="38">
        <v>41</v>
      </c>
      <c r="C41" s="38"/>
      <c r="D41" s="38"/>
      <c r="E41" s="38"/>
      <c r="F41" s="38"/>
      <c r="G41" s="39" t="str">
        <f t="shared" si="5"/>
        <v/>
      </c>
      <c r="H41" s="45"/>
      <c r="I41" s="39"/>
      <c r="J41" s="39"/>
      <c r="K41" s="41" t="str">
        <f t="shared" si="3"/>
        <v/>
      </c>
      <c r="L41" s="42"/>
      <c r="M41" s="43"/>
      <c r="N41" s="38"/>
      <c r="O41" s="38"/>
      <c r="P41" s="38"/>
    </row>
    <row r="42" spans="1:31" x14ac:dyDescent="0.25">
      <c r="A42" s="25"/>
      <c r="B42" s="38">
        <v>42</v>
      </c>
      <c r="C42" s="38"/>
      <c r="D42" s="38"/>
      <c r="E42" s="38"/>
      <c r="F42" s="38"/>
      <c r="G42" s="39" t="str">
        <f t="shared" si="5"/>
        <v/>
      </c>
      <c r="H42" s="45"/>
      <c r="I42" s="39"/>
      <c r="J42" s="39"/>
      <c r="K42" s="41" t="str">
        <f t="shared" si="3"/>
        <v/>
      </c>
      <c r="L42" s="42"/>
      <c r="M42" s="43"/>
      <c r="N42" s="38"/>
      <c r="O42" s="38"/>
      <c r="P42" s="38"/>
      <c r="T42" s="1"/>
      <c r="U42" s="1"/>
      <c r="V42" s="1"/>
    </row>
    <row r="43" spans="1:31" x14ac:dyDescent="0.25">
      <c r="A43" s="25"/>
      <c r="B43" s="38">
        <v>43</v>
      </c>
      <c r="C43" s="38"/>
      <c r="D43" s="38"/>
      <c r="E43" s="38"/>
      <c r="F43" s="38"/>
      <c r="G43" s="39" t="str">
        <f t="shared" si="5"/>
        <v/>
      </c>
      <c r="H43" s="45"/>
      <c r="I43" s="39"/>
      <c r="J43" s="39"/>
      <c r="K43" s="41" t="str">
        <f t="shared" si="3"/>
        <v/>
      </c>
      <c r="L43" s="42"/>
      <c r="M43" s="43"/>
      <c r="N43" s="38"/>
      <c r="O43" s="38"/>
      <c r="P43" s="38"/>
    </row>
    <row r="44" spans="1:31" x14ac:dyDescent="0.25">
      <c r="A44" s="25"/>
      <c r="B44" s="38">
        <v>44</v>
      </c>
      <c r="C44" s="38"/>
      <c r="D44" s="38"/>
      <c r="E44" s="38"/>
      <c r="F44" s="38"/>
      <c r="G44" s="39" t="str">
        <f t="shared" si="5"/>
        <v/>
      </c>
      <c r="H44" s="45"/>
      <c r="I44" s="39"/>
      <c r="J44" s="39"/>
      <c r="K44" s="41" t="str">
        <f t="shared" si="3"/>
        <v/>
      </c>
      <c r="L44" s="42"/>
      <c r="M44" s="43"/>
      <c r="N44" s="38"/>
      <c r="O44" s="38"/>
      <c r="P44" s="38"/>
    </row>
    <row r="45" spans="1:31" x14ac:dyDescent="0.25">
      <c r="A45" s="25"/>
      <c r="B45" s="38">
        <v>45</v>
      </c>
      <c r="C45" s="38"/>
      <c r="D45" s="38"/>
      <c r="E45" s="38"/>
      <c r="F45" s="38"/>
      <c r="G45" s="39" t="str">
        <f t="shared" si="5"/>
        <v/>
      </c>
      <c r="H45" s="45"/>
      <c r="I45" s="39"/>
      <c r="J45" s="39"/>
      <c r="K45" s="41" t="str">
        <f t="shared" si="3"/>
        <v/>
      </c>
      <c r="L45" s="42"/>
      <c r="M45" s="43"/>
      <c r="N45" s="38"/>
      <c r="O45" s="38"/>
      <c r="P45" s="38"/>
    </row>
    <row r="46" spans="1:31" x14ac:dyDescent="0.25">
      <c r="A46" s="25"/>
      <c r="B46" s="38">
        <v>46</v>
      </c>
      <c r="C46" s="38"/>
      <c r="D46" s="38"/>
      <c r="E46" s="38"/>
      <c r="F46" s="38"/>
      <c r="G46" s="39" t="str">
        <f t="shared" si="5"/>
        <v/>
      </c>
      <c r="H46" s="45"/>
      <c r="I46" s="39"/>
      <c r="J46" s="39"/>
      <c r="K46" s="41" t="str">
        <f t="shared" si="3"/>
        <v/>
      </c>
      <c r="L46" s="42"/>
      <c r="M46" s="43"/>
      <c r="N46" s="38"/>
      <c r="O46" s="38"/>
      <c r="P46" s="38"/>
    </row>
    <row r="47" spans="1:31" x14ac:dyDescent="0.25">
      <c r="A47" s="25"/>
      <c r="B47" s="38">
        <v>47</v>
      </c>
      <c r="C47" s="38"/>
      <c r="D47" s="38"/>
      <c r="E47" s="38"/>
      <c r="F47" s="38"/>
      <c r="G47" s="39" t="str">
        <f t="shared" si="5"/>
        <v/>
      </c>
      <c r="H47" s="45"/>
      <c r="I47" s="39"/>
      <c r="J47" s="39"/>
      <c r="K47" s="41" t="str">
        <f t="shared" si="3"/>
        <v/>
      </c>
      <c r="L47" s="42"/>
      <c r="M47" s="43"/>
      <c r="N47" s="38"/>
      <c r="O47" s="38"/>
      <c r="P47" s="38"/>
    </row>
    <row r="48" spans="1:31" x14ac:dyDescent="0.25">
      <c r="A48" s="25"/>
      <c r="B48" s="38">
        <v>48</v>
      </c>
      <c r="C48" s="38"/>
      <c r="D48" s="38"/>
      <c r="E48" s="38"/>
      <c r="F48" s="38"/>
      <c r="G48" s="39" t="str">
        <f t="shared" si="5"/>
        <v/>
      </c>
      <c r="H48" s="45"/>
      <c r="I48" s="39"/>
      <c r="J48" s="39"/>
      <c r="K48" s="41" t="str">
        <f t="shared" si="3"/>
        <v/>
      </c>
      <c r="L48" s="42"/>
      <c r="M48" s="43"/>
      <c r="N48" s="38"/>
      <c r="O48" s="38"/>
      <c r="P48" s="38"/>
    </row>
    <row r="49" spans="1:16" x14ac:dyDescent="0.25">
      <c r="A49" s="25"/>
      <c r="B49" s="38">
        <v>49</v>
      </c>
      <c r="C49" s="38"/>
      <c r="D49" s="38"/>
      <c r="E49" s="38"/>
      <c r="F49" s="38"/>
      <c r="G49" s="39" t="str">
        <f t="shared" si="5"/>
        <v/>
      </c>
      <c r="H49" s="45"/>
      <c r="I49" s="39"/>
      <c r="J49" s="39"/>
      <c r="K49" s="41" t="str">
        <f t="shared" si="3"/>
        <v/>
      </c>
      <c r="L49" s="42"/>
      <c r="M49" s="43"/>
      <c r="N49" s="38"/>
      <c r="O49" s="38"/>
      <c r="P49" s="38"/>
    </row>
    <row r="50" spans="1:16" x14ac:dyDescent="0.25">
      <c r="A50" s="25"/>
      <c r="B50" s="38">
        <v>51</v>
      </c>
      <c r="C50" s="38"/>
      <c r="D50" s="38"/>
      <c r="E50" s="38"/>
      <c r="F50" s="38"/>
      <c r="G50" s="39" t="str">
        <f t="shared" si="5"/>
        <v/>
      </c>
      <c r="H50" s="45"/>
      <c r="I50" s="39"/>
      <c r="J50" s="39"/>
      <c r="K50" s="41" t="str">
        <f t="shared" si="3"/>
        <v/>
      </c>
      <c r="L50" s="42"/>
      <c r="M50" s="43"/>
      <c r="N50" s="38"/>
      <c r="O50" s="38"/>
      <c r="P50" s="38"/>
    </row>
    <row r="51" spans="1:16" x14ac:dyDescent="0.25">
      <c r="A51" s="25"/>
      <c r="B51" s="38">
        <v>52</v>
      </c>
      <c r="C51" s="38"/>
      <c r="D51" s="38"/>
      <c r="E51" s="38"/>
      <c r="F51" s="38"/>
      <c r="G51" s="39" t="str">
        <f t="shared" si="5"/>
        <v/>
      </c>
      <c r="H51" s="45"/>
      <c r="I51" s="39"/>
      <c r="J51" s="39"/>
      <c r="K51" s="41" t="str">
        <f t="shared" si="3"/>
        <v/>
      </c>
      <c r="L51" s="42"/>
      <c r="M51" s="43"/>
      <c r="N51" s="38"/>
      <c r="O51" s="38"/>
      <c r="P51" s="38"/>
    </row>
    <row r="52" spans="1:16" x14ac:dyDescent="0.25">
      <c r="A52" s="25"/>
      <c r="B52" s="38">
        <v>53</v>
      </c>
      <c r="C52" s="38"/>
      <c r="D52" s="38"/>
      <c r="E52" s="38"/>
      <c r="F52" s="38"/>
      <c r="G52" s="39" t="str">
        <f t="shared" si="5"/>
        <v/>
      </c>
      <c r="H52" s="45"/>
      <c r="I52" s="39"/>
      <c r="J52" s="39"/>
      <c r="K52" s="41" t="str">
        <f t="shared" si="3"/>
        <v/>
      </c>
      <c r="L52" s="42"/>
      <c r="M52" s="43"/>
      <c r="N52" s="38"/>
      <c r="O52" s="38"/>
      <c r="P52" s="38"/>
    </row>
    <row r="53" spans="1:16" x14ac:dyDescent="0.25">
      <c r="A53" s="25"/>
      <c r="B53" s="38">
        <v>54</v>
      </c>
      <c r="C53" s="38"/>
      <c r="D53" s="38"/>
      <c r="E53" s="38"/>
      <c r="F53" s="38"/>
      <c r="G53" s="39" t="str">
        <f t="shared" si="5"/>
        <v/>
      </c>
      <c r="H53" s="45"/>
      <c r="I53" s="39"/>
      <c r="J53" s="39"/>
      <c r="K53" s="41" t="str">
        <f t="shared" si="3"/>
        <v/>
      </c>
      <c r="L53" s="42"/>
      <c r="M53" s="43"/>
      <c r="N53" s="38"/>
      <c r="O53" s="38"/>
      <c r="P53" s="38"/>
    </row>
    <row r="54" spans="1:16" x14ac:dyDescent="0.25">
      <c r="A54" s="25"/>
      <c r="B54" s="38">
        <v>55</v>
      </c>
      <c r="C54" s="38"/>
      <c r="D54" s="38"/>
      <c r="E54" s="38"/>
      <c r="F54" s="38"/>
      <c r="G54" s="39" t="str">
        <f t="shared" si="5"/>
        <v/>
      </c>
      <c r="H54" s="45"/>
      <c r="I54" s="39"/>
      <c r="J54" s="39"/>
      <c r="K54" s="41" t="str">
        <f t="shared" si="3"/>
        <v/>
      </c>
      <c r="L54" s="42"/>
      <c r="M54" s="43"/>
      <c r="N54" s="38"/>
      <c r="O54" s="38"/>
      <c r="P54" s="38"/>
    </row>
    <row r="55" spans="1:16" x14ac:dyDescent="0.25">
      <c r="A55" s="25"/>
      <c r="B55" s="38">
        <v>56</v>
      </c>
      <c r="C55" s="38"/>
      <c r="D55" s="38"/>
      <c r="E55" s="38"/>
      <c r="F55" s="38"/>
      <c r="G55" s="39" t="str">
        <f t="shared" si="5"/>
        <v/>
      </c>
      <c r="H55" s="45"/>
      <c r="I55" s="39"/>
      <c r="J55" s="39"/>
      <c r="K55" s="41" t="str">
        <f t="shared" si="3"/>
        <v/>
      </c>
      <c r="L55" s="42"/>
      <c r="M55" s="43"/>
      <c r="N55" s="38"/>
      <c r="O55" s="38"/>
      <c r="P55" s="38"/>
    </row>
    <row r="56" spans="1:16" x14ac:dyDescent="0.25">
      <c r="A56" s="25"/>
      <c r="B56" s="38">
        <v>57</v>
      </c>
      <c r="C56" s="38"/>
      <c r="D56" s="38"/>
      <c r="E56" s="38"/>
      <c r="F56" s="38"/>
      <c r="G56" s="39" t="str">
        <f t="shared" si="5"/>
        <v/>
      </c>
      <c r="H56" s="45"/>
      <c r="I56" s="39"/>
      <c r="J56" s="39"/>
      <c r="K56" s="41" t="str">
        <f t="shared" si="3"/>
        <v/>
      </c>
      <c r="L56" s="42"/>
      <c r="M56" s="43"/>
      <c r="N56" s="38"/>
      <c r="O56" s="38"/>
      <c r="P56" s="38"/>
    </row>
    <row r="57" spans="1:16" x14ac:dyDescent="0.25">
      <c r="A57" s="25"/>
      <c r="B57" s="38"/>
      <c r="C57" s="38"/>
      <c r="D57" s="38"/>
      <c r="E57" s="38"/>
      <c r="F57" s="38"/>
      <c r="G57" s="39"/>
      <c r="H57" s="45"/>
      <c r="I57" s="39"/>
      <c r="J57" s="39"/>
      <c r="K57" s="38"/>
      <c r="L57" s="42"/>
      <c r="M57" s="43"/>
      <c r="N57" s="38"/>
      <c r="O57" s="38"/>
      <c r="P57" s="38"/>
    </row>
    <row r="58" spans="1:16" x14ac:dyDescent="0.25">
      <c r="A58" s="25"/>
      <c r="B58" s="38"/>
      <c r="C58" s="38"/>
      <c r="D58" s="38"/>
      <c r="E58" s="38"/>
      <c r="F58" s="38"/>
      <c r="G58" s="39"/>
      <c r="H58" s="45"/>
      <c r="I58" s="39"/>
      <c r="J58" s="39"/>
      <c r="K58" s="38"/>
      <c r="L58" s="42"/>
      <c r="M58" s="43"/>
      <c r="N58" s="38"/>
      <c r="O58" s="38"/>
      <c r="P58" s="38"/>
    </row>
    <row r="59" spans="1:16" x14ac:dyDescent="0.25">
      <c r="A59" s="25"/>
      <c r="B59" s="38"/>
      <c r="C59" s="38"/>
      <c r="D59" s="38"/>
      <c r="E59" s="38"/>
      <c r="F59" s="38"/>
      <c r="G59" s="39"/>
      <c r="H59" s="45"/>
      <c r="I59" s="39"/>
      <c r="J59" s="39"/>
      <c r="K59" s="38"/>
      <c r="L59" s="42"/>
      <c r="M59" s="43"/>
      <c r="N59" s="38"/>
      <c r="O59" s="38"/>
      <c r="P59" s="38"/>
    </row>
    <row r="60" spans="1:16" x14ac:dyDescent="0.25">
      <c r="A60" s="25"/>
      <c r="B60" s="38"/>
      <c r="C60" s="38"/>
      <c r="D60" s="38"/>
      <c r="E60" s="38"/>
      <c r="F60" s="38"/>
      <c r="G60" s="39"/>
      <c r="H60" s="45"/>
      <c r="I60" s="39"/>
      <c r="J60" s="39"/>
      <c r="K60" s="38"/>
      <c r="L60" s="42"/>
      <c r="M60" s="43"/>
      <c r="N60" s="38"/>
      <c r="O60" s="38"/>
      <c r="P60" s="38"/>
    </row>
    <row r="61" spans="1:16" x14ac:dyDescent="0.25">
      <c r="A61" s="25"/>
      <c r="B61" s="38"/>
      <c r="C61" s="38"/>
      <c r="D61" s="38"/>
      <c r="E61" s="38"/>
      <c r="F61" s="38"/>
      <c r="G61" s="39"/>
      <c r="H61" s="45"/>
      <c r="I61" s="39"/>
      <c r="J61" s="39"/>
      <c r="K61" s="38"/>
      <c r="L61" s="42"/>
      <c r="M61" s="43"/>
      <c r="N61" s="38"/>
      <c r="O61" s="38"/>
      <c r="P61" s="38"/>
    </row>
    <row r="62" spans="1:16" x14ac:dyDescent="0.25">
      <c r="A62" s="25"/>
      <c r="B62" s="38"/>
      <c r="C62" s="38"/>
      <c r="D62" s="38"/>
      <c r="E62" s="38"/>
      <c r="F62" s="38"/>
      <c r="G62" s="39"/>
      <c r="H62" s="45"/>
      <c r="I62" s="39"/>
      <c r="J62" s="39"/>
      <c r="K62" s="38"/>
      <c r="L62" s="42"/>
      <c r="M62" s="43"/>
      <c r="N62" s="38"/>
      <c r="O62" s="38"/>
      <c r="P62" s="38"/>
    </row>
    <row r="63" spans="1:16" x14ac:dyDescent="0.25">
      <c r="A63" s="25"/>
      <c r="B63" s="38"/>
      <c r="C63" s="38"/>
      <c r="D63" s="38"/>
      <c r="E63" s="38"/>
      <c r="F63" s="38"/>
      <c r="G63" s="39"/>
      <c r="H63" s="45"/>
      <c r="I63" s="39"/>
      <c r="J63" s="39"/>
      <c r="K63" s="38"/>
      <c r="L63" s="42"/>
      <c r="M63" s="43"/>
      <c r="N63" s="38"/>
      <c r="O63" s="38"/>
      <c r="P63" s="38"/>
    </row>
    <row r="64" spans="1:16" x14ac:dyDescent="0.25">
      <c r="A64" s="25"/>
      <c r="B64" s="38"/>
      <c r="C64" s="38"/>
      <c r="D64" s="38"/>
      <c r="E64" s="38"/>
      <c r="F64" s="38"/>
      <c r="G64" s="39"/>
      <c r="H64" s="45"/>
      <c r="I64" s="39"/>
      <c r="J64" s="39"/>
      <c r="K64" s="38"/>
      <c r="L64" s="42"/>
      <c r="M64" s="43"/>
      <c r="N64" s="38"/>
      <c r="O64" s="38"/>
      <c r="P64" s="38"/>
    </row>
    <row r="65" spans="1:16" x14ac:dyDescent="0.25">
      <c r="A65" s="25"/>
      <c r="B65" s="38"/>
      <c r="C65" s="38"/>
      <c r="D65" s="38"/>
      <c r="E65" s="38"/>
      <c r="F65" s="38"/>
      <c r="G65" s="39"/>
      <c r="H65" s="45"/>
      <c r="I65" s="39"/>
      <c r="J65" s="39"/>
      <c r="K65" s="38"/>
      <c r="L65" s="42"/>
      <c r="M65" s="43"/>
      <c r="N65" s="38"/>
      <c r="O65" s="38"/>
      <c r="P65" s="38"/>
    </row>
    <row r="66" spans="1:16" x14ac:dyDescent="0.25">
      <c r="A66" s="25"/>
      <c r="B66" s="38"/>
      <c r="C66" s="38"/>
      <c r="D66" s="38"/>
      <c r="E66" s="38"/>
      <c r="F66" s="38"/>
      <c r="G66" s="39"/>
      <c r="H66" s="45"/>
      <c r="I66" s="39"/>
      <c r="J66" s="39"/>
      <c r="K66" s="38"/>
      <c r="L66" s="42"/>
      <c r="M66" s="43"/>
      <c r="N66" s="38"/>
      <c r="O66" s="38"/>
      <c r="P66" s="38"/>
    </row>
    <row r="67" spans="1:16" x14ac:dyDescent="0.25">
      <c r="A67" s="25"/>
      <c r="B67" s="38"/>
      <c r="C67" s="38"/>
      <c r="D67" s="38"/>
      <c r="E67" s="38"/>
      <c r="F67" s="38"/>
      <c r="G67" s="39"/>
      <c r="H67" s="45"/>
      <c r="I67" s="39"/>
      <c r="J67" s="39"/>
      <c r="K67" s="38"/>
      <c r="L67" s="42"/>
      <c r="M67" s="43"/>
      <c r="N67" s="38"/>
      <c r="O67" s="38"/>
      <c r="P67" s="38"/>
    </row>
    <row r="68" spans="1:16" x14ac:dyDescent="0.25">
      <c r="A68" s="25"/>
      <c r="B68" s="38"/>
      <c r="C68" s="38"/>
      <c r="D68" s="38"/>
      <c r="E68" s="38"/>
      <c r="F68" s="38"/>
      <c r="G68" s="39"/>
      <c r="H68" s="45"/>
      <c r="I68" s="39"/>
      <c r="J68" s="39"/>
      <c r="K68" s="38"/>
      <c r="L68" s="42"/>
      <c r="M68" s="43"/>
      <c r="N68" s="38"/>
      <c r="O68" s="38"/>
      <c r="P68" s="38"/>
    </row>
    <row r="69" spans="1:16" x14ac:dyDescent="0.25">
      <c r="A69" s="25"/>
      <c r="B69" s="38"/>
      <c r="C69" s="38"/>
      <c r="D69" s="38"/>
      <c r="E69" s="38"/>
      <c r="F69" s="38"/>
      <c r="G69" s="39"/>
      <c r="H69" s="45"/>
      <c r="I69" s="39"/>
      <c r="J69" s="39"/>
      <c r="K69" s="38"/>
      <c r="L69" s="42"/>
      <c r="M69" s="43"/>
      <c r="N69" s="38"/>
      <c r="O69" s="38"/>
      <c r="P69" s="38"/>
    </row>
    <row r="70" spans="1:16" x14ac:dyDescent="0.25">
      <c r="A70" s="25"/>
      <c r="B70" s="38"/>
      <c r="C70" s="38"/>
      <c r="D70" s="38"/>
      <c r="E70" s="38"/>
      <c r="F70" s="38"/>
      <c r="G70" s="39"/>
      <c r="H70" s="45"/>
      <c r="I70" s="39"/>
      <c r="J70" s="39"/>
      <c r="K70" s="38"/>
      <c r="L70" s="42"/>
      <c r="M70" s="43"/>
      <c r="N70" s="38"/>
      <c r="O70" s="38"/>
      <c r="P70" s="38"/>
    </row>
    <row r="71" spans="1:16" x14ac:dyDescent="0.25">
      <c r="A71" s="25"/>
      <c r="B71" s="38"/>
      <c r="C71" s="38"/>
      <c r="D71" s="38"/>
      <c r="E71" s="38"/>
      <c r="F71" s="38"/>
      <c r="G71" s="39"/>
      <c r="H71" s="45"/>
      <c r="I71" s="39"/>
      <c r="J71" s="39"/>
      <c r="K71" s="38"/>
      <c r="L71" s="42"/>
      <c r="M71" s="43"/>
      <c r="N71" s="38"/>
      <c r="O71" s="38"/>
      <c r="P71" s="38"/>
    </row>
    <row r="72" spans="1:16" x14ac:dyDescent="0.25">
      <c r="A72" s="25"/>
      <c r="B72" s="38"/>
      <c r="C72" s="38"/>
      <c r="D72" s="38"/>
      <c r="E72" s="38"/>
      <c r="F72" s="38"/>
      <c r="G72" s="39"/>
      <c r="H72" s="45"/>
      <c r="I72" s="39"/>
      <c r="J72" s="39"/>
      <c r="K72" s="38"/>
      <c r="L72" s="42"/>
      <c r="M72" s="43"/>
      <c r="N72" s="38"/>
      <c r="O72" s="38"/>
      <c r="P72" s="38"/>
    </row>
    <row r="73" spans="1:16" x14ac:dyDescent="0.25">
      <c r="A73" s="25"/>
      <c r="B73" s="38"/>
      <c r="C73" s="38"/>
      <c r="D73" s="38"/>
      <c r="E73" s="38"/>
      <c r="F73" s="38"/>
      <c r="G73" s="39"/>
      <c r="H73" s="45"/>
      <c r="I73" s="39"/>
      <c r="J73" s="39"/>
      <c r="K73" s="38"/>
      <c r="L73" s="42"/>
      <c r="M73" s="43"/>
      <c r="N73" s="38"/>
      <c r="O73" s="38"/>
      <c r="P73" s="38"/>
    </row>
    <row r="74" spans="1:16" x14ac:dyDescent="0.25">
      <c r="A74" s="25"/>
      <c r="B74" s="38"/>
      <c r="C74" s="38"/>
      <c r="D74" s="38"/>
      <c r="E74" s="38"/>
      <c r="F74" s="38"/>
      <c r="G74" s="39"/>
      <c r="H74" s="45"/>
      <c r="I74" s="39"/>
      <c r="J74" s="39"/>
      <c r="K74" s="38"/>
      <c r="L74" s="42"/>
      <c r="M74" s="43"/>
      <c r="N74" s="38"/>
      <c r="O74" s="38"/>
      <c r="P74" s="38"/>
    </row>
    <row r="75" spans="1:16" x14ac:dyDescent="0.25">
      <c r="A75" s="25"/>
      <c r="B75" s="38"/>
      <c r="C75" s="38"/>
      <c r="D75" s="38"/>
      <c r="E75" s="38"/>
      <c r="F75" s="38"/>
      <c r="G75" s="39"/>
      <c r="H75" s="45"/>
      <c r="I75" s="39"/>
      <c r="J75" s="39"/>
      <c r="K75" s="38"/>
      <c r="L75" s="42"/>
      <c r="M75" s="43"/>
      <c r="N75" s="38"/>
      <c r="O75" s="38"/>
      <c r="P75" s="38"/>
    </row>
    <row r="76" spans="1:16" x14ac:dyDescent="0.25">
      <c r="A76" s="25"/>
      <c r="B76" s="38"/>
      <c r="C76" s="38"/>
      <c r="D76" s="38"/>
      <c r="E76" s="38"/>
      <c r="F76" s="38"/>
      <c r="G76" s="39"/>
      <c r="H76" s="45"/>
      <c r="I76" s="39"/>
      <c r="J76" s="39"/>
      <c r="K76" s="38"/>
      <c r="L76" s="42"/>
      <c r="M76" s="43"/>
      <c r="N76" s="38"/>
      <c r="O76" s="38"/>
      <c r="P76" s="38"/>
    </row>
    <row r="77" spans="1:16" x14ac:dyDescent="0.25">
      <c r="A77" s="25"/>
      <c r="B77" s="38"/>
      <c r="C77" s="38"/>
      <c r="D77" s="38"/>
      <c r="E77" s="38"/>
      <c r="F77" s="38"/>
      <c r="G77" s="39"/>
      <c r="H77" s="45"/>
      <c r="I77" s="39"/>
      <c r="J77" s="39"/>
      <c r="K77" s="38"/>
      <c r="L77" s="42"/>
      <c r="M77" s="43"/>
      <c r="N77" s="38"/>
      <c r="O77" s="38"/>
      <c r="P77" s="38"/>
    </row>
    <row r="78" spans="1:16" x14ac:dyDescent="0.25">
      <c r="A78" s="25"/>
      <c r="B78" s="38"/>
      <c r="C78" s="38"/>
      <c r="D78" s="38"/>
      <c r="E78" s="38"/>
      <c r="F78" s="38"/>
      <c r="G78" s="39"/>
      <c r="H78" s="45"/>
      <c r="I78" s="39"/>
      <c r="J78" s="39"/>
      <c r="K78" s="38"/>
      <c r="L78" s="42"/>
      <c r="M78" s="43"/>
      <c r="N78" s="38"/>
      <c r="O78" s="38"/>
      <c r="P78" s="38"/>
    </row>
    <row r="79" spans="1:16" x14ac:dyDescent="0.25">
      <c r="A79" s="25"/>
      <c r="B79" s="38"/>
      <c r="C79" s="38"/>
      <c r="D79" s="38"/>
      <c r="E79" s="38"/>
      <c r="F79" s="38"/>
      <c r="G79" s="39"/>
      <c r="H79" s="45"/>
      <c r="I79" s="39"/>
      <c r="J79" s="39"/>
      <c r="K79" s="38"/>
      <c r="L79" s="42"/>
      <c r="M79" s="43"/>
      <c r="N79" s="38"/>
      <c r="O79" s="38"/>
      <c r="P79" s="38"/>
    </row>
    <row r="80" spans="1:16" x14ac:dyDescent="0.25">
      <c r="A80" s="25"/>
      <c r="B80" s="38"/>
      <c r="C80" s="38"/>
      <c r="D80" s="38"/>
      <c r="E80" s="38"/>
      <c r="F80" s="38"/>
      <c r="G80" s="39"/>
      <c r="H80" s="45"/>
      <c r="I80" s="39"/>
      <c r="J80" s="39"/>
      <c r="K80" s="38"/>
      <c r="L80" s="42"/>
      <c r="M80" s="43"/>
      <c r="N80" s="38"/>
      <c r="O80" s="38"/>
      <c r="P80" s="38"/>
    </row>
    <row r="81" spans="1:16" x14ac:dyDescent="0.25">
      <c r="A81" s="25"/>
      <c r="B81" s="38"/>
      <c r="C81" s="38"/>
      <c r="D81" s="38"/>
      <c r="E81" s="38"/>
      <c r="F81" s="38"/>
      <c r="G81" s="39"/>
      <c r="H81" s="45"/>
      <c r="I81" s="39"/>
      <c r="J81" s="39"/>
      <c r="K81" s="38"/>
      <c r="L81" s="42"/>
      <c r="M81" s="43"/>
      <c r="N81" s="38"/>
      <c r="O81" s="38"/>
      <c r="P81" s="38"/>
    </row>
    <row r="82" spans="1:16" x14ac:dyDescent="0.25">
      <c r="A82" s="25"/>
      <c r="B82" s="38"/>
      <c r="C82" s="38"/>
      <c r="D82" s="38"/>
      <c r="E82" s="38"/>
      <c r="F82" s="38"/>
      <c r="G82" s="39"/>
      <c r="H82" s="45"/>
      <c r="I82" s="39"/>
      <c r="J82" s="39"/>
      <c r="K82" s="38"/>
      <c r="L82" s="42"/>
      <c r="M82" s="43"/>
      <c r="N82" s="38"/>
      <c r="O82" s="38"/>
      <c r="P82" s="38"/>
    </row>
    <row r="83" spans="1:16" x14ac:dyDescent="0.25">
      <c r="A83" s="25"/>
      <c r="B83" s="38"/>
      <c r="C83" s="38"/>
      <c r="D83" s="38"/>
      <c r="E83" s="38"/>
      <c r="F83" s="38"/>
      <c r="G83" s="39"/>
      <c r="H83" s="45"/>
      <c r="I83" s="39"/>
      <c r="J83" s="39"/>
      <c r="K83" s="38"/>
      <c r="L83" s="42"/>
      <c r="M83" s="43"/>
      <c r="N83" s="38"/>
      <c r="O83" s="38"/>
      <c r="P83" s="38"/>
    </row>
    <row r="84" spans="1:16" x14ac:dyDescent="0.25">
      <c r="A84" s="25"/>
      <c r="B84" s="38"/>
      <c r="C84" s="38"/>
      <c r="D84" s="38"/>
      <c r="E84" s="38"/>
      <c r="F84" s="38"/>
      <c r="G84" s="39"/>
      <c r="H84" s="45"/>
      <c r="I84" s="39"/>
      <c r="J84" s="39"/>
      <c r="K84" s="38"/>
      <c r="L84" s="42"/>
      <c r="M84" s="43"/>
      <c r="N84" s="38"/>
      <c r="O84" s="38"/>
      <c r="P84" s="38"/>
    </row>
    <row r="85" spans="1:16" x14ac:dyDescent="0.25">
      <c r="A85" s="25"/>
      <c r="B85" s="38"/>
      <c r="C85" s="38"/>
      <c r="D85" s="38"/>
      <c r="E85" s="38"/>
      <c r="F85" s="38"/>
      <c r="G85" s="39"/>
      <c r="H85" s="45"/>
      <c r="I85" s="39"/>
      <c r="J85" s="39"/>
      <c r="K85" s="38"/>
      <c r="L85" s="42"/>
      <c r="M85" s="43"/>
      <c r="N85" s="38"/>
      <c r="O85" s="38"/>
      <c r="P85" s="38"/>
    </row>
    <row r="86" spans="1:16" x14ac:dyDescent="0.25">
      <c r="A86" s="25"/>
      <c r="B86" s="38"/>
      <c r="C86" s="38"/>
      <c r="D86" s="38"/>
      <c r="E86" s="38"/>
      <c r="F86" s="38"/>
      <c r="G86" s="39"/>
      <c r="H86" s="45"/>
      <c r="I86" s="39"/>
      <c r="J86" s="39"/>
      <c r="K86" s="38"/>
      <c r="L86" s="42"/>
      <c r="M86" s="43"/>
      <c r="N86" s="38"/>
      <c r="O86" s="38"/>
      <c r="P86" s="38"/>
    </row>
    <row r="87" spans="1:16" x14ac:dyDescent="0.25">
      <c r="A87" s="25"/>
      <c r="B87" s="38"/>
      <c r="C87" s="38"/>
      <c r="D87" s="38"/>
      <c r="E87" s="38"/>
      <c r="F87" s="38"/>
      <c r="G87" s="39"/>
      <c r="H87" s="45"/>
      <c r="I87" s="39"/>
      <c r="J87" s="39"/>
      <c r="K87" s="38"/>
      <c r="L87" s="42"/>
      <c r="M87" s="43"/>
      <c r="N87" s="38"/>
      <c r="O87" s="38"/>
      <c r="P87" s="38"/>
    </row>
    <row r="88" spans="1:16" x14ac:dyDescent="0.25">
      <c r="A88" s="25"/>
      <c r="B88" s="38"/>
      <c r="C88" s="38"/>
      <c r="D88" s="38"/>
      <c r="E88" s="38"/>
      <c r="F88" s="38"/>
      <c r="G88" s="39"/>
      <c r="H88" s="45"/>
      <c r="I88" s="39"/>
      <c r="J88" s="39"/>
      <c r="K88" s="38"/>
      <c r="L88" s="42"/>
      <c r="M88" s="43"/>
      <c r="N88" s="38"/>
      <c r="O88" s="38"/>
      <c r="P88" s="38"/>
    </row>
    <row r="89" spans="1:16" x14ac:dyDescent="0.25">
      <c r="A89" s="25"/>
      <c r="B89" s="38"/>
      <c r="C89" s="38"/>
      <c r="D89" s="38"/>
      <c r="E89" s="38"/>
      <c r="F89" s="38"/>
      <c r="G89" s="39"/>
      <c r="H89" s="45"/>
      <c r="I89" s="39"/>
      <c r="J89" s="39"/>
      <c r="K89" s="38"/>
      <c r="L89" s="42"/>
      <c r="M89" s="43"/>
      <c r="N89" s="38"/>
      <c r="O89" s="38"/>
      <c r="P89" s="38"/>
    </row>
    <row r="90" spans="1:16" x14ac:dyDescent="0.25">
      <c r="A90" s="25"/>
      <c r="B90" s="38"/>
      <c r="C90" s="38"/>
      <c r="D90" s="38"/>
      <c r="E90" s="38"/>
      <c r="F90" s="38"/>
      <c r="G90" s="39"/>
      <c r="H90" s="45"/>
      <c r="I90" s="39"/>
      <c r="J90" s="39"/>
      <c r="K90" s="38"/>
      <c r="L90" s="42"/>
      <c r="M90" s="43"/>
      <c r="N90" s="38"/>
      <c r="O90" s="38"/>
      <c r="P90" s="38"/>
    </row>
    <row r="91" spans="1:16" x14ac:dyDescent="0.25">
      <c r="A91" s="25"/>
      <c r="B91" s="38"/>
      <c r="C91" s="38"/>
      <c r="D91" s="38"/>
      <c r="E91" s="38"/>
      <c r="F91" s="38"/>
      <c r="G91" s="39"/>
      <c r="H91" s="45"/>
      <c r="I91" s="39"/>
      <c r="J91" s="39"/>
      <c r="K91" s="38"/>
      <c r="L91" s="42"/>
      <c r="M91" s="43"/>
      <c r="N91" s="38"/>
      <c r="O91" s="38"/>
      <c r="P91" s="38"/>
    </row>
    <row r="92" spans="1:16" x14ac:dyDescent="0.25">
      <c r="A92" s="25"/>
      <c r="B92" s="38"/>
      <c r="C92" s="38"/>
      <c r="D92" s="38"/>
      <c r="E92" s="38"/>
      <c r="F92" s="38"/>
      <c r="G92" s="39"/>
      <c r="H92" s="45"/>
      <c r="I92" s="39"/>
      <c r="J92" s="39"/>
      <c r="K92" s="38"/>
      <c r="L92" s="42"/>
      <c r="M92" s="43"/>
      <c r="N92" s="38"/>
      <c r="O92" s="38"/>
      <c r="P92" s="38"/>
    </row>
    <row r="93" spans="1:16" x14ac:dyDescent="0.25">
      <c r="A93" s="25"/>
      <c r="B93" s="38"/>
      <c r="C93" s="38"/>
      <c r="D93" s="38"/>
      <c r="E93" s="38"/>
      <c r="F93" s="38"/>
      <c r="G93" s="39"/>
      <c r="H93" s="45"/>
      <c r="I93" s="39"/>
      <c r="J93" s="39"/>
      <c r="K93" s="38"/>
      <c r="L93" s="42"/>
      <c r="M93" s="43"/>
      <c r="N93" s="38"/>
      <c r="O93" s="38"/>
      <c r="P93" s="38"/>
    </row>
    <row r="94" spans="1:16" x14ac:dyDescent="0.25">
      <c r="A94" s="25"/>
      <c r="B94" s="38"/>
      <c r="C94" s="38"/>
      <c r="D94" s="38"/>
      <c r="E94" s="38"/>
      <c r="F94" s="38"/>
      <c r="G94" s="39"/>
      <c r="H94" s="45"/>
      <c r="I94" s="39"/>
      <c r="J94" s="39"/>
      <c r="K94" s="38"/>
      <c r="L94" s="42"/>
      <c r="M94" s="43"/>
      <c r="N94" s="38"/>
      <c r="O94" s="38"/>
      <c r="P94" s="38"/>
    </row>
    <row r="95" spans="1:16" x14ac:dyDescent="0.25">
      <c r="A95" s="25"/>
      <c r="B95" s="38"/>
      <c r="C95" s="38"/>
      <c r="D95" s="38"/>
      <c r="E95" s="38"/>
      <c r="F95" s="38"/>
      <c r="G95" s="39"/>
      <c r="H95" s="45"/>
      <c r="I95" s="39"/>
      <c r="J95" s="39"/>
      <c r="K95" s="38"/>
      <c r="L95" s="42"/>
      <c r="M95" s="43"/>
      <c r="N95" s="38"/>
      <c r="O95" s="38"/>
      <c r="P95" s="38"/>
    </row>
    <row r="96" spans="1:16" x14ac:dyDescent="0.25">
      <c r="A96" s="25"/>
      <c r="B96" s="38"/>
      <c r="C96" s="38"/>
      <c r="D96" s="38"/>
      <c r="E96" s="38"/>
      <c r="F96" s="38"/>
      <c r="G96" s="39"/>
      <c r="H96" s="45"/>
      <c r="I96" s="39"/>
      <c r="J96" s="39"/>
      <c r="K96" s="38"/>
      <c r="L96" s="42"/>
      <c r="M96" s="43"/>
      <c r="N96" s="38"/>
      <c r="O96" s="38"/>
      <c r="P96" s="38"/>
    </row>
    <row r="97" spans="1:16" x14ac:dyDescent="0.25">
      <c r="A97" s="25"/>
      <c r="B97" s="38"/>
      <c r="C97" s="38"/>
      <c r="D97" s="38"/>
      <c r="E97" s="38"/>
      <c r="F97" s="38"/>
      <c r="G97" s="39"/>
      <c r="H97" s="45"/>
      <c r="I97" s="39"/>
      <c r="J97" s="39"/>
      <c r="K97" s="38"/>
      <c r="L97" s="42"/>
      <c r="M97" s="43"/>
      <c r="N97" s="38"/>
      <c r="O97" s="38"/>
      <c r="P97" s="38"/>
    </row>
    <row r="98" spans="1:16" x14ac:dyDescent="0.25">
      <c r="A98" s="25"/>
      <c r="B98" s="38"/>
      <c r="C98" s="38"/>
      <c r="D98" s="38"/>
      <c r="E98" s="38"/>
      <c r="F98" s="38"/>
      <c r="G98" s="39"/>
      <c r="H98" s="45"/>
      <c r="I98" s="39"/>
      <c r="J98" s="39"/>
      <c r="K98" s="38"/>
      <c r="L98" s="42"/>
      <c r="M98" s="43"/>
      <c r="N98" s="38"/>
      <c r="O98" s="38"/>
      <c r="P98" s="38"/>
    </row>
    <row r="99" spans="1:16" x14ac:dyDescent="0.25">
      <c r="A99" s="25"/>
      <c r="B99" s="38"/>
      <c r="C99" s="38"/>
      <c r="D99" s="38"/>
      <c r="E99" s="38"/>
      <c r="F99" s="38"/>
      <c r="G99" s="39"/>
      <c r="H99" s="45"/>
      <c r="I99" s="39"/>
      <c r="J99" s="39"/>
      <c r="K99" s="38"/>
      <c r="L99" s="42"/>
      <c r="M99" s="43"/>
      <c r="N99" s="38"/>
      <c r="O99" s="38"/>
      <c r="P99" s="38"/>
    </row>
    <row r="100" spans="1:16" x14ac:dyDescent="0.25">
      <c r="A100" s="25"/>
      <c r="B100" s="38"/>
      <c r="C100" s="38"/>
      <c r="D100" s="38"/>
      <c r="E100" s="40"/>
      <c r="F100" s="38"/>
      <c r="G100" s="39"/>
      <c r="H100" s="45"/>
      <c r="I100" s="39"/>
      <c r="J100" s="39"/>
      <c r="K100" s="38"/>
      <c r="L100" s="42"/>
      <c r="M100" s="43"/>
      <c r="N100" s="38"/>
      <c r="O100" s="38"/>
      <c r="P100" s="38"/>
    </row>
    <row r="101" spans="1:16" x14ac:dyDescent="0.25">
      <c r="A101" s="25"/>
      <c r="B101" s="38"/>
      <c r="C101" s="38"/>
      <c r="D101" s="38"/>
      <c r="E101" s="38"/>
      <c r="F101" s="38"/>
      <c r="G101" s="39"/>
      <c r="H101" s="45"/>
      <c r="I101" s="39"/>
      <c r="J101" s="39"/>
      <c r="K101" s="38"/>
      <c r="L101" s="42"/>
      <c r="M101" s="43"/>
      <c r="N101" s="38"/>
      <c r="O101" s="38"/>
      <c r="P101" s="38"/>
    </row>
    <row r="102" spans="1:16" x14ac:dyDescent="0.25">
      <c r="A102" s="25"/>
      <c r="B102" s="38"/>
      <c r="C102" s="38"/>
      <c r="D102" s="38"/>
      <c r="E102" s="38"/>
      <c r="F102" s="38"/>
      <c r="G102" s="39"/>
      <c r="H102" s="45"/>
      <c r="I102" s="39"/>
      <c r="J102" s="39"/>
      <c r="K102" s="38"/>
      <c r="L102" s="42"/>
      <c r="M102" s="43"/>
      <c r="N102" s="38"/>
      <c r="O102" s="38"/>
      <c r="P102" s="38"/>
    </row>
    <row r="103" spans="1:16" x14ac:dyDescent="0.25">
      <c r="A103" s="25"/>
      <c r="B103" s="38"/>
      <c r="C103" s="38"/>
      <c r="D103" s="38"/>
      <c r="E103" s="38"/>
      <c r="F103" s="38"/>
      <c r="G103" s="39"/>
      <c r="H103" s="45"/>
      <c r="I103" s="39"/>
      <c r="J103" s="39"/>
      <c r="K103" s="38"/>
      <c r="L103" s="42"/>
      <c r="M103" s="43"/>
      <c r="N103" s="38"/>
      <c r="O103" s="38"/>
      <c r="P103" s="38"/>
    </row>
    <row r="104" spans="1:16" x14ac:dyDescent="0.25">
      <c r="A104" s="25"/>
      <c r="B104" s="38"/>
      <c r="C104" s="38"/>
      <c r="D104" s="38"/>
      <c r="E104" s="38"/>
      <c r="F104" s="38"/>
      <c r="G104" s="39"/>
      <c r="H104" s="45"/>
      <c r="I104" s="39"/>
      <c r="J104" s="39"/>
      <c r="K104" s="38"/>
      <c r="L104" s="42"/>
      <c r="M104" s="43"/>
      <c r="N104" s="38"/>
      <c r="O104" s="38"/>
      <c r="P104" s="38"/>
    </row>
    <row r="105" spans="1:16" x14ac:dyDescent="0.25">
      <c r="A105" s="25"/>
      <c r="B105" s="38"/>
      <c r="C105" s="38"/>
      <c r="D105" s="38"/>
      <c r="E105" s="38"/>
      <c r="F105" s="38"/>
      <c r="G105" s="39"/>
      <c r="H105" s="45"/>
      <c r="I105" s="39"/>
      <c r="J105" s="39"/>
      <c r="K105" s="38"/>
      <c r="L105" s="42"/>
      <c r="M105" s="43"/>
      <c r="N105" s="38"/>
      <c r="O105" s="38"/>
      <c r="P105" s="38"/>
    </row>
    <row r="106" spans="1:16" x14ac:dyDescent="0.25">
      <c r="A106" s="25"/>
      <c r="B106" s="38"/>
      <c r="C106" s="38"/>
      <c r="D106" s="38"/>
      <c r="E106" s="38"/>
      <c r="F106" s="38"/>
      <c r="G106" s="39"/>
      <c r="H106" s="45"/>
      <c r="I106" s="39"/>
      <c r="J106" s="39"/>
      <c r="K106" s="38"/>
      <c r="L106" s="42"/>
      <c r="M106" s="43"/>
      <c r="N106" s="38"/>
      <c r="O106" s="38"/>
      <c r="P106" s="38"/>
    </row>
    <row r="107" spans="1:16" x14ac:dyDescent="0.25">
      <c r="A107" s="25"/>
      <c r="B107" s="38"/>
      <c r="C107" s="38"/>
      <c r="D107" s="38"/>
      <c r="E107" s="38"/>
      <c r="F107" s="38"/>
      <c r="G107" s="39"/>
      <c r="H107" s="45"/>
      <c r="I107" s="39"/>
      <c r="J107" s="39"/>
      <c r="K107" s="38"/>
      <c r="L107" s="42"/>
      <c r="M107" s="43"/>
      <c r="N107" s="38"/>
      <c r="O107" s="38"/>
      <c r="P107" s="38"/>
    </row>
    <row r="108" spans="1:16" x14ac:dyDescent="0.25">
      <c r="A108" s="25"/>
      <c r="B108" s="38"/>
      <c r="C108" s="38"/>
      <c r="D108" s="38"/>
      <c r="E108" s="38"/>
      <c r="F108" s="38"/>
      <c r="G108" s="39"/>
      <c r="H108" s="45"/>
      <c r="I108" s="39"/>
      <c r="J108" s="39"/>
      <c r="K108" s="38"/>
      <c r="L108" s="42"/>
      <c r="M108" s="43"/>
      <c r="N108" s="38"/>
      <c r="O108" s="38"/>
      <c r="P108" s="38"/>
    </row>
    <row r="109" spans="1:16" x14ac:dyDescent="0.25">
      <c r="A109" s="25"/>
      <c r="B109" s="38"/>
      <c r="C109" s="38"/>
      <c r="D109" s="38"/>
      <c r="E109" s="38"/>
      <c r="F109" s="38"/>
      <c r="G109" s="39"/>
      <c r="H109" s="45"/>
      <c r="I109" s="39"/>
      <c r="J109" s="39"/>
      <c r="K109" s="38"/>
      <c r="L109" s="42"/>
      <c r="M109" s="43"/>
      <c r="N109" s="38"/>
      <c r="O109" s="38"/>
      <c r="P109" s="38"/>
    </row>
    <row r="110" spans="1:16" x14ac:dyDescent="0.25">
      <c r="A110" s="25"/>
      <c r="B110" s="38"/>
      <c r="C110" s="38"/>
      <c r="D110" s="38"/>
      <c r="E110" s="38"/>
      <c r="F110" s="38"/>
      <c r="G110" s="39"/>
      <c r="H110" s="45"/>
      <c r="I110" s="39"/>
      <c r="J110" s="39"/>
      <c r="K110" s="38"/>
      <c r="L110" s="42"/>
      <c r="M110" s="43"/>
      <c r="N110" s="38"/>
      <c r="O110" s="38"/>
      <c r="P110" s="38"/>
    </row>
    <row r="111" spans="1:16" x14ac:dyDescent="0.25">
      <c r="A111" s="25"/>
      <c r="B111" s="38"/>
      <c r="C111" s="38"/>
      <c r="D111" s="38"/>
      <c r="E111" s="38"/>
      <c r="F111" s="38"/>
      <c r="G111" s="39"/>
      <c r="H111" s="45"/>
      <c r="I111" s="39"/>
      <c r="J111" s="39"/>
      <c r="K111" s="38"/>
      <c r="L111" s="42"/>
      <c r="M111" s="43"/>
      <c r="N111" s="38"/>
      <c r="O111" s="38"/>
      <c r="P111" s="38"/>
    </row>
    <row r="112" spans="1:16" x14ac:dyDescent="0.25">
      <c r="A112" s="25"/>
      <c r="B112" s="38"/>
      <c r="C112" s="38"/>
      <c r="D112" s="38"/>
      <c r="E112" s="38"/>
      <c r="F112" s="38"/>
      <c r="G112" s="39"/>
      <c r="H112" s="45"/>
      <c r="I112" s="39"/>
      <c r="J112" s="39"/>
      <c r="K112" s="38"/>
      <c r="L112" s="42"/>
      <c r="M112" s="43"/>
      <c r="N112" s="38"/>
      <c r="O112" s="38"/>
      <c r="P112" s="38"/>
    </row>
    <row r="113" spans="1:16" x14ac:dyDescent="0.25">
      <c r="A113" s="25"/>
      <c r="B113" s="38"/>
      <c r="C113" s="38"/>
      <c r="D113" s="38"/>
      <c r="E113" s="38"/>
      <c r="F113" s="38"/>
      <c r="G113" s="39"/>
      <c r="H113" s="45"/>
      <c r="I113" s="39"/>
      <c r="J113" s="39"/>
      <c r="K113" s="38"/>
      <c r="L113" s="42"/>
      <c r="M113" s="43"/>
      <c r="N113" s="38"/>
      <c r="O113" s="38"/>
      <c r="P113" s="38"/>
    </row>
    <row r="114" spans="1:16" x14ac:dyDescent="0.25">
      <c r="A114" s="25"/>
      <c r="B114" s="38"/>
      <c r="C114" s="38"/>
      <c r="D114" s="38"/>
      <c r="E114" s="38"/>
      <c r="F114" s="38"/>
      <c r="G114" s="39"/>
      <c r="H114" s="45"/>
      <c r="I114" s="39"/>
      <c r="J114" s="39"/>
      <c r="K114" s="38"/>
      <c r="L114" s="42"/>
      <c r="M114" s="43"/>
      <c r="N114" s="38"/>
      <c r="O114" s="38"/>
      <c r="P114" s="38"/>
    </row>
    <row r="115" spans="1:16" x14ac:dyDescent="0.25">
      <c r="A115" s="25"/>
      <c r="B115" s="38"/>
      <c r="C115" s="38"/>
      <c r="D115" s="38"/>
      <c r="E115" s="38"/>
      <c r="F115" s="38"/>
      <c r="G115" s="39"/>
      <c r="H115" s="45"/>
      <c r="I115" s="39"/>
      <c r="J115" s="39"/>
      <c r="K115" s="38"/>
      <c r="L115" s="42"/>
      <c r="M115" s="43"/>
      <c r="N115" s="38"/>
      <c r="O115" s="38"/>
      <c r="P115" s="38"/>
    </row>
    <row r="116" spans="1:16" x14ac:dyDescent="0.25">
      <c r="A116" s="25"/>
      <c r="B116" s="38"/>
      <c r="C116" s="38"/>
      <c r="D116" s="38"/>
      <c r="E116" s="38"/>
      <c r="F116" s="38"/>
      <c r="G116" s="39"/>
      <c r="H116" s="45"/>
      <c r="I116" s="39"/>
      <c r="J116" s="39"/>
      <c r="K116" s="38"/>
      <c r="L116" s="42"/>
      <c r="M116" s="43"/>
      <c r="N116" s="38"/>
      <c r="O116" s="38"/>
      <c r="P116" s="38"/>
    </row>
    <row r="117" spans="1:16" x14ac:dyDescent="0.25">
      <c r="A117" s="25"/>
      <c r="B117" s="38"/>
      <c r="C117" s="38"/>
      <c r="D117" s="38"/>
      <c r="E117" s="38"/>
      <c r="F117" s="38"/>
      <c r="G117" s="39"/>
      <c r="H117" s="45"/>
      <c r="I117" s="39"/>
      <c r="J117" s="39"/>
      <c r="K117" s="38"/>
      <c r="L117" s="42"/>
      <c r="M117" s="43"/>
      <c r="N117" s="38"/>
      <c r="O117" s="38"/>
      <c r="P117" s="38"/>
    </row>
    <row r="118" spans="1:16" x14ac:dyDescent="0.25">
      <c r="A118" s="25"/>
      <c r="B118" s="38"/>
      <c r="C118" s="38"/>
      <c r="D118" s="38"/>
      <c r="E118" s="38"/>
      <c r="F118" s="38"/>
      <c r="G118" s="39"/>
      <c r="H118" s="45"/>
      <c r="I118" s="39"/>
      <c r="J118" s="39"/>
      <c r="K118" s="38"/>
      <c r="L118" s="42"/>
      <c r="M118" s="43"/>
      <c r="N118" s="38"/>
      <c r="O118" s="38"/>
      <c r="P118" s="38"/>
    </row>
    <row r="119" spans="1:16" x14ac:dyDescent="0.25">
      <c r="A119" s="25"/>
      <c r="B119" s="38"/>
      <c r="C119" s="38"/>
      <c r="D119" s="38"/>
      <c r="E119" s="38"/>
      <c r="F119" s="38"/>
      <c r="G119" s="39"/>
      <c r="H119" s="45"/>
      <c r="I119" s="39"/>
      <c r="J119" s="39"/>
      <c r="K119" s="38"/>
      <c r="L119" s="42"/>
      <c r="M119" s="43"/>
      <c r="N119" s="38"/>
      <c r="O119" s="38"/>
      <c r="P119" s="38"/>
    </row>
    <row r="120" spans="1:16" x14ac:dyDescent="0.25">
      <c r="A120" s="25"/>
      <c r="B120" s="38"/>
      <c r="C120" s="38"/>
      <c r="D120" s="38"/>
      <c r="E120" s="38"/>
      <c r="F120" s="38"/>
      <c r="G120" s="39"/>
      <c r="H120" s="45"/>
      <c r="I120" s="39"/>
      <c r="J120" s="39"/>
      <c r="K120" s="38"/>
      <c r="L120" s="42"/>
      <c r="M120" s="43"/>
      <c r="N120" s="38"/>
      <c r="O120" s="38"/>
      <c r="P120" s="38"/>
    </row>
    <row r="121" spans="1:16" x14ac:dyDescent="0.25">
      <c r="A121" s="25"/>
      <c r="B121" s="38"/>
      <c r="C121" s="38"/>
      <c r="D121" s="38"/>
      <c r="E121" s="38"/>
      <c r="F121" s="38"/>
      <c r="G121" s="39"/>
      <c r="H121" s="45"/>
      <c r="I121" s="39"/>
      <c r="J121" s="39"/>
      <c r="K121" s="38"/>
      <c r="L121" s="42"/>
      <c r="M121" s="43"/>
      <c r="N121" s="38"/>
      <c r="O121" s="38"/>
      <c r="P121" s="38"/>
    </row>
    <row r="122" spans="1:16" x14ac:dyDescent="0.25">
      <c r="A122" s="25"/>
      <c r="B122" s="38"/>
      <c r="C122" s="38"/>
      <c r="D122" s="38"/>
      <c r="E122" s="38"/>
      <c r="F122" s="38"/>
      <c r="G122" s="39"/>
      <c r="H122" s="45"/>
      <c r="I122" s="39"/>
      <c r="J122" s="39"/>
      <c r="K122" s="38"/>
      <c r="L122" s="42"/>
      <c r="M122" s="43"/>
      <c r="N122" s="38"/>
      <c r="O122" s="38"/>
      <c r="P122" s="38"/>
    </row>
    <row r="123" spans="1:16" x14ac:dyDescent="0.25">
      <c r="A123" s="25"/>
      <c r="B123" s="38"/>
      <c r="C123" s="38"/>
      <c r="D123" s="38"/>
      <c r="E123" s="38"/>
      <c r="F123" s="38"/>
      <c r="G123" s="39"/>
      <c r="H123" s="45"/>
      <c r="I123" s="39"/>
      <c r="J123" s="39"/>
      <c r="K123" s="38"/>
      <c r="L123" s="42"/>
      <c r="M123" s="43"/>
      <c r="N123" s="38"/>
      <c r="O123" s="38"/>
      <c r="P123" s="38"/>
    </row>
    <row r="124" spans="1:16" x14ac:dyDescent="0.25">
      <c r="A124" s="25"/>
      <c r="B124" s="38"/>
      <c r="C124" s="38"/>
      <c r="D124" s="38"/>
      <c r="E124" s="38"/>
      <c r="F124" s="38"/>
      <c r="G124" s="39"/>
      <c r="H124" s="45"/>
      <c r="I124" s="39"/>
      <c r="J124" s="39"/>
      <c r="K124" s="38"/>
      <c r="L124" s="42"/>
      <c r="M124" s="43"/>
      <c r="N124" s="38"/>
      <c r="O124" s="38"/>
      <c r="P124" s="38"/>
    </row>
    <row r="125" spans="1:16" x14ac:dyDescent="0.25">
      <c r="A125" s="25"/>
      <c r="B125" s="38"/>
      <c r="C125" s="38"/>
      <c r="D125" s="38"/>
      <c r="E125" s="38"/>
      <c r="F125" s="38"/>
      <c r="G125" s="39"/>
      <c r="H125" s="45"/>
      <c r="I125" s="39"/>
      <c r="J125" s="39"/>
      <c r="K125" s="38"/>
      <c r="L125" s="42"/>
      <c r="M125" s="43"/>
      <c r="N125" s="38"/>
      <c r="O125" s="38"/>
      <c r="P125" s="38"/>
    </row>
    <row r="126" spans="1:16" x14ac:dyDescent="0.25">
      <c r="A126" s="25"/>
      <c r="B126" s="38"/>
      <c r="C126" s="38"/>
      <c r="D126" s="38"/>
      <c r="E126" s="38"/>
      <c r="F126" s="38"/>
      <c r="G126" s="39"/>
      <c r="H126" s="45"/>
      <c r="I126" s="39"/>
      <c r="J126" s="39"/>
      <c r="K126" s="38"/>
      <c r="L126" s="42"/>
      <c r="M126" s="43"/>
      <c r="N126" s="38"/>
      <c r="O126" s="38"/>
      <c r="P126" s="38"/>
    </row>
    <row r="127" spans="1:16" x14ac:dyDescent="0.25">
      <c r="A127" s="25"/>
      <c r="B127" s="38"/>
      <c r="C127" s="38"/>
      <c r="D127" s="38"/>
      <c r="E127" s="38"/>
      <c r="F127" s="38"/>
      <c r="G127" s="39"/>
      <c r="H127" s="45"/>
      <c r="I127" s="39"/>
      <c r="J127" s="39"/>
      <c r="K127" s="38"/>
      <c r="L127" s="42"/>
      <c r="M127" s="43"/>
      <c r="N127" s="38"/>
      <c r="O127" s="38"/>
      <c r="P127" s="38"/>
    </row>
    <row r="128" spans="1:16" x14ac:dyDescent="0.25">
      <c r="A128" s="25"/>
      <c r="B128" s="38"/>
      <c r="C128" s="38"/>
      <c r="D128" s="38"/>
      <c r="E128" s="38"/>
      <c r="F128" s="38"/>
      <c r="G128" s="39"/>
      <c r="H128" s="45"/>
      <c r="I128" s="39"/>
      <c r="J128" s="39"/>
      <c r="K128" s="38"/>
      <c r="L128" s="42"/>
      <c r="M128" s="43"/>
      <c r="N128" s="38"/>
      <c r="O128" s="38"/>
      <c r="P128" s="38"/>
    </row>
    <row r="129" spans="1:16" x14ac:dyDescent="0.25">
      <c r="A129" s="25"/>
      <c r="B129" s="38"/>
      <c r="C129" s="38"/>
      <c r="D129" s="38"/>
      <c r="E129" s="38"/>
      <c r="F129" s="38"/>
      <c r="G129" s="39"/>
      <c r="H129" s="45"/>
      <c r="I129" s="39"/>
      <c r="J129" s="39"/>
      <c r="K129" s="38"/>
      <c r="L129" s="42"/>
      <c r="M129" s="43"/>
      <c r="N129" s="38"/>
      <c r="O129" s="38"/>
      <c r="P129" s="38"/>
    </row>
    <row r="130" spans="1:16" x14ac:dyDescent="0.25">
      <c r="A130" s="25"/>
      <c r="B130" s="38"/>
      <c r="C130" s="38"/>
      <c r="D130" s="38"/>
      <c r="E130" s="38"/>
      <c r="F130" s="38"/>
      <c r="G130" s="39"/>
      <c r="H130" s="45"/>
      <c r="I130" s="39"/>
      <c r="J130" s="39"/>
      <c r="K130" s="38"/>
      <c r="L130" s="42"/>
      <c r="M130" s="43"/>
      <c r="N130" s="38"/>
      <c r="O130" s="38"/>
      <c r="P130" s="38"/>
    </row>
    <row r="131" spans="1:16" x14ac:dyDescent="0.25">
      <c r="A131" s="25"/>
      <c r="B131" s="38"/>
      <c r="C131" s="38"/>
      <c r="D131" s="38"/>
      <c r="E131" s="38"/>
      <c r="F131" s="38"/>
      <c r="G131" s="39"/>
      <c r="H131" s="45"/>
      <c r="I131" s="39"/>
      <c r="J131" s="39"/>
      <c r="K131" s="38"/>
      <c r="L131" s="42"/>
      <c r="M131" s="43"/>
      <c r="N131" s="38"/>
      <c r="O131" s="38"/>
      <c r="P131" s="38"/>
    </row>
    <row r="132" spans="1:16" x14ac:dyDescent="0.25">
      <c r="A132" s="25"/>
      <c r="B132" s="38"/>
      <c r="C132" s="38"/>
      <c r="D132" s="38"/>
      <c r="E132" s="38"/>
      <c r="F132" s="38"/>
      <c r="G132" s="39"/>
      <c r="H132" s="45"/>
      <c r="I132" s="39"/>
      <c r="J132" s="39"/>
      <c r="K132" s="38"/>
      <c r="L132" s="42"/>
      <c r="M132" s="43"/>
      <c r="N132" s="38"/>
      <c r="O132" s="38"/>
      <c r="P132" s="38"/>
    </row>
    <row r="133" spans="1:16" x14ac:dyDescent="0.25">
      <c r="A133" s="25"/>
      <c r="B133" s="38"/>
      <c r="C133" s="38"/>
      <c r="D133" s="38"/>
      <c r="E133" s="38"/>
      <c r="F133" s="38"/>
      <c r="G133" s="39"/>
      <c r="H133" s="45"/>
      <c r="I133" s="39"/>
      <c r="J133" s="39"/>
      <c r="K133" s="38"/>
      <c r="L133" s="42"/>
      <c r="M133" s="43"/>
      <c r="N133" s="38"/>
      <c r="O133" s="38"/>
      <c r="P133" s="38"/>
    </row>
    <row r="134" spans="1:16" x14ac:dyDescent="0.25">
      <c r="A134" s="25"/>
      <c r="B134" s="38"/>
      <c r="C134" s="38"/>
      <c r="D134" s="38"/>
      <c r="E134" s="38"/>
      <c r="F134" s="38"/>
      <c r="G134" s="39"/>
      <c r="H134" s="45"/>
      <c r="I134" s="39"/>
      <c r="J134" s="39"/>
      <c r="K134" s="38"/>
      <c r="L134" s="42"/>
      <c r="M134" s="43"/>
      <c r="N134" s="38"/>
      <c r="O134" s="38"/>
      <c r="P134" s="38"/>
    </row>
    <row r="135" spans="1:16" x14ac:dyDescent="0.25">
      <c r="A135" s="25"/>
      <c r="B135" s="38"/>
      <c r="C135" s="38"/>
      <c r="D135" s="38"/>
      <c r="E135" s="38"/>
      <c r="F135" s="38"/>
      <c r="G135" s="39"/>
      <c r="H135" s="45"/>
      <c r="I135" s="39"/>
      <c r="J135" s="39"/>
      <c r="K135" s="38"/>
      <c r="L135" s="42"/>
      <c r="M135" s="43"/>
      <c r="N135" s="38"/>
      <c r="O135" s="38"/>
      <c r="P135" s="38"/>
    </row>
    <row r="136" spans="1:16" x14ac:dyDescent="0.25">
      <c r="A136" s="25"/>
      <c r="B136" s="38"/>
      <c r="C136" s="38"/>
      <c r="D136" s="38"/>
      <c r="E136" s="38"/>
      <c r="F136" s="38"/>
      <c r="G136" s="39"/>
      <c r="H136" s="45"/>
      <c r="I136" s="39"/>
      <c r="J136" s="39"/>
      <c r="K136" s="38"/>
      <c r="L136" s="42"/>
      <c r="M136" s="43"/>
      <c r="N136" s="38"/>
      <c r="O136" s="38"/>
      <c r="P136" s="38"/>
    </row>
    <row r="137" spans="1:16" x14ac:dyDescent="0.25">
      <c r="A137" s="25"/>
      <c r="B137" s="38"/>
      <c r="C137" s="38"/>
      <c r="D137" s="38"/>
      <c r="E137" s="38"/>
      <c r="F137" s="38"/>
      <c r="G137" s="39"/>
      <c r="H137" s="45"/>
      <c r="I137" s="39"/>
      <c r="J137" s="39"/>
      <c r="K137" s="38"/>
      <c r="L137" s="42"/>
      <c r="M137" s="43"/>
      <c r="N137" s="38"/>
      <c r="O137" s="38"/>
      <c r="P137" s="38"/>
    </row>
    <row r="138" spans="1:16" x14ac:dyDescent="0.25">
      <c r="A138" s="25"/>
      <c r="B138" s="38"/>
      <c r="C138" s="38"/>
      <c r="D138" s="38"/>
      <c r="E138" s="38"/>
      <c r="F138" s="38"/>
      <c r="G138" s="39"/>
      <c r="H138" s="45"/>
      <c r="I138" s="39"/>
      <c r="J138" s="39"/>
      <c r="K138" s="38"/>
      <c r="L138" s="42"/>
      <c r="M138" s="43"/>
      <c r="N138" s="38"/>
      <c r="O138" s="38"/>
      <c r="P138" s="38"/>
    </row>
    <row r="139" spans="1:16" x14ac:dyDescent="0.25">
      <c r="A139" s="25"/>
      <c r="B139" s="38"/>
      <c r="C139" s="38"/>
      <c r="D139" s="38"/>
      <c r="E139" s="38"/>
      <c r="F139" s="38"/>
      <c r="G139" s="39"/>
      <c r="H139" s="45"/>
      <c r="I139" s="39"/>
      <c r="J139" s="39"/>
      <c r="K139" s="38"/>
      <c r="L139" s="42"/>
      <c r="M139" s="43"/>
      <c r="N139" s="38"/>
      <c r="O139" s="38"/>
      <c r="P139" s="38"/>
    </row>
    <row r="140" spans="1:16" x14ac:dyDescent="0.25">
      <c r="A140" s="25"/>
      <c r="B140" s="38"/>
      <c r="C140" s="38"/>
      <c r="D140" s="38"/>
      <c r="E140" s="38"/>
      <c r="F140" s="38"/>
      <c r="G140" s="39"/>
      <c r="H140" s="45"/>
      <c r="I140" s="39"/>
      <c r="J140" s="39"/>
      <c r="K140" s="38"/>
      <c r="L140" s="42"/>
      <c r="M140" s="43"/>
      <c r="N140" s="38"/>
      <c r="O140" s="38"/>
      <c r="P140" s="38"/>
    </row>
    <row r="141" spans="1:16" x14ac:dyDescent="0.25">
      <c r="A141" s="25"/>
      <c r="B141" s="38"/>
      <c r="C141" s="38"/>
      <c r="D141" s="38"/>
      <c r="E141" s="38"/>
      <c r="F141" s="38"/>
      <c r="G141" s="39"/>
      <c r="H141" s="45"/>
      <c r="I141" s="39"/>
      <c r="J141" s="39"/>
      <c r="K141" s="38"/>
      <c r="L141" s="42"/>
      <c r="M141" s="43"/>
      <c r="N141" s="38"/>
      <c r="O141" s="38"/>
      <c r="P141" s="38"/>
    </row>
    <row r="142" spans="1:16" x14ac:dyDescent="0.25">
      <c r="A142" s="25"/>
      <c r="B142" s="38"/>
      <c r="C142" s="38"/>
      <c r="D142" s="38"/>
      <c r="E142" s="38"/>
      <c r="F142" s="38"/>
      <c r="G142" s="39"/>
      <c r="H142" s="45"/>
      <c r="I142" s="39"/>
      <c r="J142" s="39"/>
      <c r="K142" s="38"/>
      <c r="L142" s="42"/>
      <c r="M142" s="43"/>
      <c r="N142" s="38"/>
      <c r="O142" s="38"/>
      <c r="P142" s="38"/>
    </row>
    <row r="143" spans="1:16" x14ac:dyDescent="0.25">
      <c r="A143" s="25"/>
      <c r="B143" s="38"/>
      <c r="C143" s="38"/>
      <c r="D143" s="38"/>
      <c r="E143" s="38"/>
      <c r="F143" s="38"/>
      <c r="G143" s="39"/>
      <c r="H143" s="45"/>
      <c r="I143" s="39"/>
      <c r="J143" s="39"/>
      <c r="K143" s="38"/>
      <c r="L143" s="42"/>
      <c r="M143" s="43"/>
      <c r="N143" s="38"/>
      <c r="O143" s="38"/>
      <c r="P143" s="38"/>
    </row>
    <row r="144" spans="1:16" x14ac:dyDescent="0.25">
      <c r="A144" s="25"/>
      <c r="B144" s="38"/>
      <c r="C144" s="38"/>
      <c r="D144" s="38"/>
      <c r="E144" s="38"/>
      <c r="F144" s="38"/>
      <c r="G144" s="39"/>
      <c r="H144" s="45"/>
      <c r="I144" s="39"/>
      <c r="J144" s="39"/>
      <c r="K144" s="38"/>
      <c r="L144" s="42"/>
      <c r="M144" s="43"/>
      <c r="N144" s="38"/>
      <c r="O144" s="38"/>
      <c r="P144" s="38"/>
    </row>
    <row r="145" spans="1:16" x14ac:dyDescent="0.25">
      <c r="A145" s="25"/>
      <c r="B145" s="38"/>
      <c r="C145" s="38"/>
      <c r="D145" s="38"/>
      <c r="E145" s="38"/>
      <c r="F145" s="38"/>
      <c r="G145" s="39"/>
      <c r="H145" s="45"/>
      <c r="I145" s="39"/>
      <c r="J145" s="39"/>
      <c r="K145" s="38"/>
      <c r="L145" s="42"/>
      <c r="M145" s="43"/>
      <c r="N145" s="38"/>
      <c r="O145" s="38"/>
      <c r="P145" s="38"/>
    </row>
    <row r="146" spans="1:16" x14ac:dyDescent="0.25">
      <c r="A146" s="25"/>
      <c r="B146" s="38"/>
      <c r="C146" s="38"/>
      <c r="D146" s="38"/>
      <c r="E146" s="38"/>
      <c r="F146" s="38"/>
      <c r="G146" s="39"/>
      <c r="H146" s="45"/>
      <c r="I146" s="39"/>
      <c r="J146" s="39"/>
      <c r="K146" s="38"/>
      <c r="L146" s="42"/>
      <c r="M146" s="43"/>
      <c r="N146" s="38"/>
      <c r="O146" s="38"/>
      <c r="P146" s="38"/>
    </row>
    <row r="147" spans="1:16" x14ac:dyDescent="0.25">
      <c r="A147" s="25"/>
      <c r="B147" s="38"/>
      <c r="C147" s="38"/>
      <c r="D147" s="38"/>
      <c r="E147" s="38"/>
      <c r="F147" s="38"/>
      <c r="G147" s="39"/>
      <c r="H147" s="45"/>
      <c r="I147" s="39"/>
      <c r="J147" s="39"/>
      <c r="K147" s="38"/>
      <c r="L147" s="42"/>
      <c r="M147" s="43"/>
      <c r="N147" s="38"/>
      <c r="O147" s="38"/>
      <c r="P147" s="38"/>
    </row>
    <row r="148" spans="1:16" x14ac:dyDescent="0.25">
      <c r="A148" s="25"/>
      <c r="B148" s="38"/>
      <c r="C148" s="38"/>
      <c r="D148" s="38"/>
      <c r="E148" s="38"/>
      <c r="F148" s="38"/>
      <c r="G148" s="39"/>
      <c r="H148" s="45"/>
      <c r="I148" s="39"/>
      <c r="J148" s="39"/>
      <c r="K148" s="38"/>
      <c r="L148" s="42"/>
      <c r="M148" s="43"/>
      <c r="N148" s="38"/>
      <c r="O148" s="38"/>
      <c r="P148" s="38"/>
    </row>
    <row r="149" spans="1:16" x14ac:dyDescent="0.25">
      <c r="A149" s="25"/>
      <c r="B149" s="38"/>
      <c r="C149" s="38"/>
      <c r="D149" s="38"/>
      <c r="E149" s="38"/>
      <c r="F149" s="38"/>
      <c r="G149" s="39"/>
      <c r="H149" s="45"/>
      <c r="I149" s="39"/>
      <c r="J149" s="39"/>
      <c r="K149" s="38"/>
      <c r="L149" s="42"/>
      <c r="M149" s="43"/>
      <c r="N149" s="38"/>
      <c r="O149" s="38"/>
      <c r="P149" s="38"/>
    </row>
    <row r="150" spans="1:16" x14ac:dyDescent="0.25">
      <c r="A150" s="25"/>
      <c r="B150" s="38"/>
      <c r="C150" s="38"/>
      <c r="D150" s="38"/>
      <c r="E150" s="38"/>
      <c r="F150" s="38"/>
      <c r="G150" s="39"/>
      <c r="H150" s="45"/>
      <c r="I150" s="39"/>
      <c r="J150" s="39"/>
      <c r="K150" s="38"/>
      <c r="L150" s="42"/>
      <c r="M150" s="43"/>
      <c r="N150" s="38"/>
      <c r="O150" s="38"/>
      <c r="P150" s="38"/>
    </row>
    <row r="151" spans="1:16" x14ac:dyDescent="0.25">
      <c r="A151" s="25"/>
      <c r="B151" s="38"/>
      <c r="C151" s="38"/>
      <c r="D151" s="38"/>
      <c r="E151" s="38"/>
      <c r="F151" s="38"/>
      <c r="G151" s="39"/>
      <c r="H151" s="45"/>
      <c r="I151" s="39"/>
      <c r="J151" s="39"/>
      <c r="K151" s="38"/>
      <c r="L151" s="42"/>
      <c r="M151" s="43"/>
      <c r="N151" s="38"/>
      <c r="O151" s="38"/>
      <c r="P151" s="38"/>
    </row>
    <row r="152" spans="1:16" x14ac:dyDescent="0.25">
      <c r="A152" s="25"/>
      <c r="B152" s="38"/>
      <c r="C152" s="38"/>
      <c r="D152" s="38"/>
      <c r="E152" s="38"/>
      <c r="F152" s="38"/>
      <c r="G152" s="39"/>
      <c r="H152" s="45"/>
      <c r="I152" s="39"/>
      <c r="J152" s="39"/>
      <c r="K152" s="38"/>
      <c r="L152" s="42"/>
      <c r="M152" s="43"/>
      <c r="N152" s="38"/>
      <c r="O152" s="38"/>
      <c r="P152" s="38"/>
    </row>
    <row r="153" spans="1:16" x14ac:dyDescent="0.25">
      <c r="A153" s="25"/>
      <c r="B153" s="38"/>
      <c r="C153" s="38"/>
      <c r="D153" s="38"/>
      <c r="E153" s="38"/>
      <c r="F153" s="38"/>
      <c r="G153" s="39"/>
      <c r="H153" s="45"/>
      <c r="I153" s="39"/>
      <c r="J153" s="39"/>
      <c r="K153" s="38"/>
      <c r="L153" s="42"/>
      <c r="M153" s="43"/>
      <c r="N153" s="38"/>
      <c r="O153" s="38"/>
      <c r="P153" s="38"/>
    </row>
    <row r="154" spans="1:16" x14ac:dyDescent="0.25">
      <c r="A154" s="25"/>
      <c r="B154" s="38"/>
      <c r="C154" s="38"/>
      <c r="D154" s="38"/>
      <c r="E154" s="38"/>
      <c r="F154" s="38"/>
      <c r="G154" s="39"/>
      <c r="H154" s="45"/>
      <c r="I154" s="39"/>
      <c r="J154" s="39"/>
      <c r="K154" s="38"/>
      <c r="L154" s="42"/>
      <c r="M154" s="43"/>
      <c r="N154" s="38"/>
      <c r="O154" s="38"/>
      <c r="P154" s="38"/>
    </row>
    <row r="155" spans="1:16" x14ac:dyDescent="0.25">
      <c r="A155" s="25"/>
      <c r="B155" s="38"/>
      <c r="C155" s="38"/>
      <c r="D155" s="38"/>
      <c r="E155" s="38"/>
      <c r="F155" s="38"/>
      <c r="G155" s="39"/>
      <c r="H155" s="45"/>
      <c r="I155" s="39"/>
      <c r="J155" s="39"/>
      <c r="K155" s="38"/>
      <c r="L155" s="42"/>
      <c r="M155" s="43"/>
      <c r="N155" s="38"/>
      <c r="O155" s="38"/>
      <c r="P155" s="38"/>
    </row>
    <row r="156" spans="1:16" x14ac:dyDescent="0.25">
      <c r="A156" s="25"/>
      <c r="B156" s="38"/>
      <c r="C156" s="38"/>
      <c r="D156" s="38"/>
      <c r="E156" s="38"/>
      <c r="F156" s="38"/>
      <c r="G156" s="39"/>
      <c r="H156" s="45"/>
      <c r="I156" s="39"/>
      <c r="J156" s="39"/>
      <c r="K156" s="38"/>
      <c r="L156" s="42"/>
      <c r="M156" s="43"/>
      <c r="N156" s="38"/>
      <c r="O156" s="38"/>
      <c r="P156" s="38"/>
    </row>
    <row r="157" spans="1:16" x14ac:dyDescent="0.25">
      <c r="A157" s="25"/>
      <c r="B157" s="38"/>
      <c r="C157" s="38"/>
      <c r="D157" s="38"/>
      <c r="E157" s="38"/>
      <c r="F157" s="38"/>
      <c r="G157" s="39"/>
      <c r="H157" s="45"/>
      <c r="I157" s="39"/>
      <c r="J157" s="39"/>
      <c r="K157" s="38"/>
      <c r="L157" s="42"/>
      <c r="M157" s="43"/>
      <c r="N157" s="38"/>
      <c r="O157" s="38"/>
      <c r="P157" s="38"/>
    </row>
    <row r="158" spans="1:16" x14ac:dyDescent="0.25">
      <c r="A158" s="25"/>
      <c r="B158" s="38"/>
      <c r="C158" s="38"/>
      <c r="D158" s="38"/>
      <c r="E158" s="38"/>
      <c r="F158" s="38"/>
      <c r="G158" s="39"/>
      <c r="H158" s="45"/>
      <c r="I158" s="39"/>
      <c r="J158" s="39"/>
      <c r="K158" s="38"/>
      <c r="L158" s="42"/>
      <c r="M158" s="43"/>
      <c r="N158" s="38"/>
      <c r="O158" s="38"/>
      <c r="P158" s="38"/>
    </row>
    <row r="159" spans="1:16" x14ac:dyDescent="0.25">
      <c r="A159" s="25"/>
      <c r="B159" s="38"/>
      <c r="C159" s="38"/>
      <c r="D159" s="38"/>
      <c r="E159" s="38"/>
      <c r="F159" s="38"/>
      <c r="G159" s="39"/>
      <c r="H159" s="45"/>
      <c r="I159" s="39"/>
      <c r="J159" s="39"/>
      <c r="K159" s="38"/>
      <c r="L159" s="42"/>
      <c r="M159" s="43"/>
      <c r="N159" s="38"/>
      <c r="O159" s="38"/>
      <c r="P159" s="38"/>
    </row>
    <row r="160" spans="1:16" x14ac:dyDescent="0.25">
      <c r="A160" s="25"/>
      <c r="B160" s="38"/>
      <c r="C160" s="38"/>
      <c r="D160" s="38"/>
      <c r="E160" s="38"/>
      <c r="F160" s="38"/>
      <c r="G160" s="39"/>
      <c r="H160" s="45"/>
      <c r="I160" s="39"/>
      <c r="J160" s="39"/>
      <c r="K160" s="38"/>
      <c r="L160" s="42"/>
      <c r="M160" s="43"/>
      <c r="N160" s="38"/>
      <c r="O160" s="38"/>
      <c r="P160" s="38"/>
    </row>
    <row r="161" spans="1:16" x14ac:dyDescent="0.25">
      <c r="A161" s="25"/>
      <c r="B161" s="38"/>
      <c r="C161" s="38"/>
      <c r="D161" s="38"/>
      <c r="E161" s="38"/>
      <c r="F161" s="38"/>
      <c r="G161" s="39"/>
      <c r="H161" s="45"/>
      <c r="I161" s="39"/>
      <c r="J161" s="39"/>
      <c r="K161" s="38"/>
      <c r="L161" s="42"/>
      <c r="M161" s="43"/>
      <c r="N161" s="38"/>
      <c r="O161" s="38"/>
      <c r="P161" s="38"/>
    </row>
    <row r="162" spans="1:16" x14ac:dyDescent="0.25">
      <c r="A162" s="25"/>
      <c r="B162" s="38"/>
      <c r="C162" s="38"/>
      <c r="D162" s="38"/>
      <c r="E162" s="38"/>
      <c r="F162" s="38"/>
      <c r="G162" s="39"/>
      <c r="H162" s="45"/>
      <c r="I162" s="39"/>
      <c r="J162" s="39"/>
      <c r="K162" s="38"/>
      <c r="L162" s="42"/>
      <c r="M162" s="43"/>
      <c r="N162" s="38"/>
      <c r="O162" s="38"/>
      <c r="P162" s="38"/>
    </row>
    <row r="163" spans="1:16" x14ac:dyDescent="0.25">
      <c r="A163" s="25"/>
      <c r="B163" s="38"/>
      <c r="C163" s="38"/>
      <c r="D163" s="38"/>
      <c r="E163" s="38"/>
      <c r="F163" s="38"/>
      <c r="G163" s="39"/>
      <c r="H163" s="45"/>
      <c r="I163" s="39"/>
      <c r="J163" s="39"/>
      <c r="K163" s="38"/>
      <c r="L163" s="42"/>
      <c r="M163" s="43"/>
      <c r="N163" s="38"/>
      <c r="O163" s="38"/>
      <c r="P163" s="38"/>
    </row>
    <row r="164" spans="1:16" x14ac:dyDescent="0.25">
      <c r="A164" s="25"/>
      <c r="B164" s="38"/>
      <c r="C164" s="38"/>
      <c r="D164" s="38"/>
      <c r="E164" s="38"/>
      <c r="F164" s="38"/>
      <c r="G164" s="39"/>
      <c r="H164" s="45"/>
      <c r="I164" s="39"/>
      <c r="J164" s="39"/>
      <c r="K164" s="38"/>
      <c r="L164" s="42"/>
      <c r="M164" s="43"/>
      <c r="N164" s="38"/>
      <c r="O164" s="38"/>
      <c r="P164" s="38"/>
    </row>
    <row r="165" spans="1:16" x14ac:dyDescent="0.25">
      <c r="A165" s="25"/>
      <c r="B165" s="38"/>
      <c r="C165" s="38"/>
      <c r="D165" s="38"/>
      <c r="E165" s="38"/>
      <c r="F165" s="38"/>
      <c r="G165" s="39"/>
      <c r="H165" s="45"/>
      <c r="I165" s="39"/>
      <c r="J165" s="39"/>
      <c r="K165" s="38"/>
      <c r="L165" s="42"/>
      <c r="M165" s="43"/>
      <c r="N165" s="38"/>
      <c r="O165" s="38"/>
      <c r="P165" s="38"/>
    </row>
    <row r="166" spans="1:16" x14ac:dyDescent="0.25">
      <c r="A166" s="25"/>
      <c r="B166" s="38"/>
      <c r="C166" s="38"/>
      <c r="D166" s="38"/>
      <c r="E166" s="38"/>
      <c r="F166" s="38"/>
      <c r="G166" s="39"/>
      <c r="H166" s="45"/>
      <c r="I166" s="39"/>
      <c r="J166" s="39"/>
      <c r="K166" s="38"/>
      <c r="L166" s="42"/>
      <c r="M166" s="43"/>
      <c r="N166" s="38"/>
      <c r="O166" s="38"/>
      <c r="P166" s="38"/>
    </row>
    <row r="167" spans="1:16" x14ac:dyDescent="0.25">
      <c r="A167" s="25"/>
      <c r="B167" s="38"/>
      <c r="C167" s="38"/>
      <c r="D167" s="38"/>
      <c r="E167" s="38"/>
      <c r="F167" s="38"/>
      <c r="G167" s="39"/>
      <c r="H167" s="45"/>
      <c r="I167" s="39"/>
      <c r="J167" s="39"/>
      <c r="K167" s="38"/>
      <c r="L167" s="42"/>
      <c r="M167" s="43"/>
      <c r="N167" s="38"/>
      <c r="O167" s="38"/>
      <c r="P167" s="38"/>
    </row>
    <row r="168" spans="1:16" x14ac:dyDescent="0.25">
      <c r="A168" s="25"/>
      <c r="B168" s="38"/>
      <c r="C168" s="38"/>
      <c r="D168" s="38"/>
      <c r="E168" s="38"/>
      <c r="F168" s="38"/>
      <c r="G168" s="39"/>
      <c r="H168" s="45"/>
      <c r="I168" s="39"/>
      <c r="J168" s="39"/>
      <c r="K168" s="38"/>
      <c r="L168" s="42"/>
      <c r="M168" s="43"/>
      <c r="N168" s="38"/>
      <c r="O168" s="38"/>
      <c r="P168" s="38"/>
    </row>
    <row r="169" spans="1:16" x14ac:dyDescent="0.25">
      <c r="A169" s="25"/>
      <c r="B169" s="38"/>
      <c r="C169" s="38"/>
      <c r="D169" s="38"/>
      <c r="E169" s="38"/>
      <c r="F169" s="38"/>
      <c r="G169" s="39"/>
      <c r="H169" s="45"/>
      <c r="I169" s="39"/>
      <c r="J169" s="39"/>
      <c r="K169" s="38"/>
      <c r="L169" s="42"/>
      <c r="M169" s="43"/>
      <c r="N169" s="38"/>
      <c r="O169" s="38"/>
      <c r="P169" s="38"/>
    </row>
    <row r="170" spans="1:16" x14ac:dyDescent="0.25">
      <c r="A170" s="25"/>
      <c r="B170" s="38"/>
      <c r="C170" s="38"/>
      <c r="D170" s="38"/>
      <c r="E170" s="38"/>
      <c r="F170" s="38"/>
      <c r="G170" s="39"/>
      <c r="H170" s="45"/>
      <c r="I170" s="39"/>
      <c r="J170" s="39"/>
      <c r="K170" s="38"/>
      <c r="L170" s="42"/>
      <c r="M170" s="43"/>
      <c r="N170" s="38"/>
      <c r="O170" s="38"/>
      <c r="P170" s="38"/>
    </row>
    <row r="171" spans="1:16" x14ac:dyDescent="0.25">
      <c r="A171" s="25"/>
      <c r="B171" s="38"/>
      <c r="C171" s="38"/>
      <c r="D171" s="38"/>
      <c r="E171" s="38"/>
      <c r="F171" s="38"/>
      <c r="G171" s="39"/>
      <c r="H171" s="45"/>
      <c r="I171" s="39"/>
      <c r="J171" s="39"/>
      <c r="K171" s="38"/>
      <c r="L171" s="42"/>
      <c r="M171" s="43"/>
      <c r="N171" s="38"/>
      <c r="O171" s="38"/>
      <c r="P171" s="38"/>
    </row>
    <row r="172" spans="1:16" x14ac:dyDescent="0.25">
      <c r="A172" s="25"/>
      <c r="B172" s="38"/>
      <c r="C172" s="38"/>
      <c r="D172" s="38"/>
      <c r="E172" s="38"/>
      <c r="F172" s="38"/>
      <c r="G172" s="39"/>
      <c r="H172" s="45"/>
      <c r="I172" s="39"/>
      <c r="J172" s="39"/>
      <c r="K172" s="38"/>
      <c r="L172" s="42"/>
      <c r="M172" s="43"/>
      <c r="N172" s="38"/>
      <c r="O172" s="38"/>
      <c r="P172" s="38"/>
    </row>
    <row r="173" spans="1:16" x14ac:dyDescent="0.25">
      <c r="A173" s="25"/>
      <c r="B173" s="38"/>
      <c r="C173" s="38"/>
      <c r="D173" s="38"/>
      <c r="E173" s="38"/>
      <c r="F173" s="38"/>
      <c r="G173" s="39"/>
      <c r="H173" s="45"/>
      <c r="I173" s="39"/>
      <c r="J173" s="39"/>
      <c r="K173" s="38"/>
      <c r="L173" s="42"/>
      <c r="M173" s="43"/>
      <c r="N173" s="38"/>
      <c r="O173" s="38"/>
      <c r="P173" s="38"/>
    </row>
    <row r="174" spans="1:16" x14ac:dyDescent="0.25">
      <c r="A174" s="25"/>
      <c r="B174" s="38"/>
      <c r="C174" s="38"/>
      <c r="D174" s="38"/>
      <c r="E174" s="38"/>
      <c r="F174" s="38"/>
      <c r="G174" s="39"/>
      <c r="H174" s="45"/>
      <c r="I174" s="39"/>
      <c r="J174" s="39"/>
      <c r="K174" s="38"/>
      <c r="L174" s="42"/>
      <c r="M174" s="43"/>
      <c r="N174" s="38"/>
      <c r="O174" s="38"/>
      <c r="P174" s="38"/>
    </row>
    <row r="175" spans="1:16" x14ac:dyDescent="0.25">
      <c r="A175" s="25"/>
      <c r="B175" s="38"/>
      <c r="C175" s="38"/>
      <c r="D175" s="38"/>
      <c r="E175" s="38"/>
      <c r="F175" s="38"/>
      <c r="G175" s="39"/>
      <c r="H175" s="45"/>
      <c r="I175" s="39"/>
      <c r="J175" s="39"/>
      <c r="K175" s="38"/>
      <c r="L175" s="42"/>
      <c r="M175" s="43"/>
      <c r="N175" s="38"/>
      <c r="O175" s="38"/>
      <c r="P175" s="38"/>
    </row>
    <row r="176" spans="1:16" x14ac:dyDescent="0.25">
      <c r="A176" s="25"/>
      <c r="B176" s="38"/>
      <c r="C176" s="38"/>
      <c r="D176" s="38"/>
      <c r="E176" s="38"/>
      <c r="F176" s="38"/>
      <c r="G176" s="39"/>
      <c r="H176" s="45"/>
      <c r="I176" s="39"/>
      <c r="J176" s="39"/>
      <c r="K176" s="38"/>
      <c r="L176" s="42"/>
      <c r="M176" s="43"/>
      <c r="N176" s="38"/>
      <c r="O176" s="38"/>
      <c r="P176" s="38"/>
    </row>
    <row r="177" spans="1:16" x14ac:dyDescent="0.25">
      <c r="A177" s="25"/>
      <c r="B177" s="38"/>
      <c r="C177" s="38"/>
      <c r="D177" s="38"/>
      <c r="E177" s="38"/>
      <c r="F177" s="38"/>
      <c r="G177" s="39"/>
      <c r="H177" s="45"/>
      <c r="I177" s="39"/>
      <c r="J177" s="39"/>
      <c r="K177" s="38"/>
      <c r="L177" s="42"/>
      <c r="M177" s="43"/>
      <c r="N177" s="38"/>
      <c r="O177" s="38"/>
      <c r="P177" s="38"/>
    </row>
    <row r="178" spans="1:16" x14ac:dyDescent="0.25">
      <c r="A178" s="25"/>
      <c r="B178" s="38"/>
      <c r="C178" s="38"/>
      <c r="D178" s="38"/>
      <c r="E178" s="38"/>
      <c r="F178" s="38"/>
      <c r="G178" s="39"/>
      <c r="H178" s="45"/>
      <c r="I178" s="39"/>
      <c r="J178" s="39"/>
      <c r="K178" s="38"/>
      <c r="L178" s="42"/>
      <c r="M178" s="43"/>
      <c r="N178" s="38"/>
      <c r="O178" s="38"/>
      <c r="P178" s="38"/>
    </row>
    <row r="179" spans="1:16" x14ac:dyDescent="0.25">
      <c r="A179" s="25"/>
      <c r="B179" s="38"/>
      <c r="C179" s="38"/>
      <c r="D179" s="38"/>
      <c r="E179" s="38"/>
      <c r="F179" s="38"/>
      <c r="G179" s="39"/>
      <c r="H179" s="45"/>
      <c r="I179" s="39"/>
      <c r="J179" s="39"/>
      <c r="K179" s="38"/>
      <c r="L179" s="42"/>
      <c r="M179" s="43"/>
      <c r="N179" s="38"/>
      <c r="O179" s="38"/>
      <c r="P179" s="38"/>
    </row>
    <row r="180" spans="1:16" x14ac:dyDescent="0.25">
      <c r="A180" s="25"/>
      <c r="B180" s="38"/>
      <c r="C180" s="38"/>
      <c r="D180" s="38"/>
      <c r="E180" s="38"/>
      <c r="F180" s="38"/>
      <c r="G180" s="39"/>
      <c r="H180" s="45"/>
      <c r="I180" s="39"/>
      <c r="J180" s="39"/>
      <c r="K180" s="38"/>
      <c r="L180" s="42"/>
      <c r="M180" s="43"/>
      <c r="N180" s="38"/>
      <c r="O180" s="38"/>
      <c r="P180" s="38"/>
    </row>
    <row r="181" spans="1:16" x14ac:dyDescent="0.25">
      <c r="A181" s="25"/>
      <c r="B181" s="38"/>
      <c r="C181" s="38"/>
      <c r="D181" s="38"/>
      <c r="E181" s="38"/>
      <c r="F181" s="38"/>
      <c r="G181" s="39"/>
      <c r="H181" s="45"/>
      <c r="I181" s="39"/>
      <c r="J181" s="39"/>
      <c r="K181" s="38"/>
      <c r="L181" s="42"/>
      <c r="M181" s="43"/>
      <c r="N181" s="38"/>
      <c r="O181" s="38"/>
      <c r="P181" s="38"/>
    </row>
    <row r="182" spans="1:16" x14ac:dyDescent="0.25">
      <c r="A182" s="25"/>
      <c r="B182" s="38"/>
      <c r="C182" s="38"/>
      <c r="D182" s="38"/>
      <c r="E182" s="38"/>
      <c r="F182" s="38"/>
      <c r="G182" s="39"/>
      <c r="H182" s="45"/>
      <c r="I182" s="39"/>
      <c r="J182" s="39"/>
      <c r="K182" s="38"/>
      <c r="L182" s="42"/>
      <c r="M182" s="43"/>
      <c r="N182" s="38"/>
      <c r="O182" s="38"/>
      <c r="P182" s="38"/>
    </row>
    <row r="183" spans="1:16" x14ac:dyDescent="0.25">
      <c r="A183" s="25"/>
      <c r="B183" s="38"/>
      <c r="C183" s="38"/>
      <c r="D183" s="38"/>
      <c r="E183" s="38"/>
      <c r="F183" s="38"/>
      <c r="G183" s="39"/>
      <c r="H183" s="45"/>
      <c r="I183" s="39"/>
      <c r="J183" s="39"/>
      <c r="K183" s="38"/>
      <c r="L183" s="42"/>
      <c r="M183" s="43"/>
      <c r="N183" s="38"/>
      <c r="O183" s="38"/>
      <c r="P183" s="38"/>
    </row>
    <row r="184" spans="1:16" x14ac:dyDescent="0.25">
      <c r="A184" s="25"/>
      <c r="B184" s="38"/>
      <c r="C184" s="38"/>
      <c r="D184" s="38"/>
      <c r="E184" s="40"/>
      <c r="F184" s="40"/>
      <c r="G184" s="39"/>
      <c r="H184" s="45"/>
      <c r="I184" s="39"/>
      <c r="J184" s="39"/>
      <c r="K184" s="38"/>
      <c r="L184" s="42"/>
      <c r="M184" s="43"/>
      <c r="N184" s="38"/>
      <c r="O184" s="38"/>
      <c r="P184" s="38"/>
    </row>
    <row r="185" spans="1:16" x14ac:dyDescent="0.25">
      <c r="A185" s="25"/>
      <c r="B185" s="38"/>
      <c r="C185" s="38"/>
      <c r="D185" s="38"/>
      <c r="E185" s="40"/>
      <c r="F185" s="40"/>
      <c r="G185" s="39"/>
      <c r="H185" s="45"/>
      <c r="I185" s="39"/>
      <c r="J185" s="39"/>
      <c r="K185" s="38"/>
      <c r="L185" s="42"/>
      <c r="M185" s="43"/>
      <c r="N185" s="38"/>
      <c r="O185" s="38"/>
      <c r="P185" s="38"/>
    </row>
    <row r="186" spans="1:16" x14ac:dyDescent="0.25">
      <c r="A186" s="25"/>
      <c r="B186" s="38"/>
      <c r="C186" s="42"/>
      <c r="D186" s="38"/>
      <c r="E186" s="39"/>
      <c r="F186" s="40"/>
      <c r="G186" s="38"/>
      <c r="H186" s="45"/>
      <c r="I186" s="39"/>
      <c r="J186" s="39"/>
      <c r="K186" s="38"/>
      <c r="L186" s="42"/>
      <c r="M186" s="43"/>
      <c r="N186" s="38"/>
      <c r="O186" s="38"/>
      <c r="P186" s="38"/>
    </row>
    <row r="187" spans="1:16" x14ac:dyDescent="0.25">
      <c r="A187" s="25"/>
      <c r="B187" s="38"/>
      <c r="C187" s="42"/>
      <c r="D187" s="38"/>
      <c r="E187" s="39"/>
      <c r="F187" s="45"/>
      <c r="G187" s="38"/>
      <c r="H187" s="45"/>
      <c r="I187" s="39"/>
      <c r="J187" s="39"/>
      <c r="K187" s="38"/>
      <c r="L187" s="42"/>
      <c r="M187" s="43"/>
      <c r="N187" s="38"/>
      <c r="O187" s="38"/>
      <c r="P187" s="38"/>
    </row>
    <row r="188" spans="1:16" x14ac:dyDescent="0.25">
      <c r="A188" s="25"/>
      <c r="B188" s="38"/>
      <c r="C188" s="42"/>
      <c r="D188" s="38"/>
      <c r="E188" s="39"/>
      <c r="F188" s="45"/>
      <c r="G188" s="38"/>
      <c r="H188" s="45"/>
      <c r="I188" s="39"/>
      <c r="J188" s="39"/>
      <c r="K188" s="38"/>
      <c r="L188" s="42"/>
      <c r="M188" s="43"/>
      <c r="N188" s="38"/>
      <c r="O188" s="38"/>
      <c r="P188" s="38"/>
    </row>
    <row r="189" spans="1:16" x14ac:dyDescent="0.25">
      <c r="A189" s="25"/>
      <c r="B189" s="38"/>
      <c r="C189" s="42"/>
      <c r="D189" s="38"/>
      <c r="E189" s="39"/>
      <c r="F189" s="45"/>
      <c r="G189" s="38"/>
      <c r="H189" s="45"/>
      <c r="I189" s="39"/>
      <c r="J189" s="39"/>
      <c r="K189" s="38"/>
      <c r="L189" s="42"/>
      <c r="M189" s="43"/>
      <c r="N189" s="38"/>
      <c r="O189" s="38"/>
      <c r="P189" s="38"/>
    </row>
    <row r="190" spans="1:16" x14ac:dyDescent="0.25">
      <c r="A190" s="25"/>
      <c r="B190" s="38"/>
      <c r="C190" s="42"/>
      <c r="D190" s="38"/>
      <c r="E190" s="39"/>
      <c r="F190" s="45"/>
      <c r="G190" s="38"/>
      <c r="H190" s="45"/>
      <c r="I190" s="39"/>
      <c r="J190" s="39"/>
      <c r="K190" s="38"/>
      <c r="L190" s="42"/>
      <c r="M190" s="43"/>
      <c r="N190" s="38"/>
      <c r="O190" s="38"/>
      <c r="P190" s="38"/>
    </row>
    <row r="191" spans="1:16" x14ac:dyDescent="0.25">
      <c r="A191" s="25"/>
      <c r="B191" s="38"/>
      <c r="C191" s="42"/>
      <c r="D191" s="38"/>
      <c r="E191" s="39"/>
      <c r="F191" s="45"/>
      <c r="G191" s="38"/>
      <c r="H191" s="45"/>
      <c r="I191" s="39"/>
      <c r="J191" s="39"/>
      <c r="K191" s="38"/>
      <c r="L191" s="42"/>
      <c r="M191" s="43"/>
      <c r="N191" s="38"/>
      <c r="O191" s="38"/>
      <c r="P191" s="38"/>
    </row>
    <row r="192" spans="1:16" x14ac:dyDescent="0.25">
      <c r="A192" s="25"/>
      <c r="B192" s="38"/>
      <c r="C192" s="42"/>
      <c r="D192" s="38"/>
      <c r="E192" s="39"/>
      <c r="F192" s="45"/>
      <c r="G192" s="38"/>
      <c r="H192" s="45"/>
      <c r="I192" s="39"/>
      <c r="J192" s="39"/>
      <c r="K192" s="38"/>
      <c r="L192" s="42"/>
      <c r="M192" s="43"/>
      <c r="N192" s="38"/>
      <c r="O192" s="38"/>
      <c r="P192" s="38"/>
    </row>
    <row r="193" spans="1:16" x14ac:dyDescent="0.25">
      <c r="A193" s="25"/>
      <c r="B193" s="38"/>
      <c r="C193" s="42"/>
      <c r="D193" s="38"/>
      <c r="E193" s="39"/>
      <c r="F193" s="45"/>
      <c r="G193" s="38"/>
      <c r="H193" s="45"/>
      <c r="I193" s="39"/>
      <c r="J193" s="39"/>
      <c r="K193" s="38"/>
      <c r="L193" s="42"/>
      <c r="M193" s="43"/>
      <c r="N193" s="38"/>
      <c r="O193" s="38"/>
      <c r="P193" s="38"/>
    </row>
    <row r="194" spans="1:16" x14ac:dyDescent="0.25">
      <c r="A194" s="25"/>
      <c r="B194" s="38"/>
      <c r="C194" s="42"/>
      <c r="D194" s="38"/>
      <c r="E194" s="39"/>
      <c r="F194" s="45"/>
      <c r="G194" s="38"/>
      <c r="H194" s="45"/>
      <c r="I194" s="39"/>
      <c r="J194" s="39"/>
      <c r="K194" s="38"/>
      <c r="L194" s="42"/>
      <c r="M194" s="43"/>
      <c r="N194" s="38"/>
      <c r="O194" s="38"/>
      <c r="P194" s="38"/>
    </row>
    <row r="195" spans="1:16" x14ac:dyDescent="0.25">
      <c r="A195" s="25"/>
      <c r="B195" s="38"/>
      <c r="C195" s="42"/>
      <c r="D195" s="38"/>
      <c r="E195" s="39"/>
      <c r="F195" s="45"/>
      <c r="G195" s="38"/>
      <c r="H195" s="45"/>
      <c r="I195" s="39"/>
      <c r="J195" s="39"/>
      <c r="K195" s="38"/>
      <c r="L195" s="42"/>
      <c r="M195" s="43"/>
      <c r="N195" s="38"/>
      <c r="O195" s="38"/>
      <c r="P195" s="38"/>
    </row>
    <row r="196" spans="1:16" x14ac:dyDescent="0.25">
      <c r="A196" s="25"/>
      <c r="B196" s="38"/>
      <c r="C196" s="42"/>
      <c r="D196" s="38"/>
      <c r="E196" s="39"/>
      <c r="F196" s="45"/>
      <c r="G196" s="38"/>
      <c r="H196" s="45"/>
      <c r="I196" s="39"/>
      <c r="J196" s="39"/>
      <c r="K196" s="38"/>
      <c r="L196" s="42"/>
      <c r="M196" s="43"/>
      <c r="N196" s="38"/>
      <c r="O196" s="38"/>
      <c r="P196" s="38"/>
    </row>
    <row r="197" spans="1:16" x14ac:dyDescent="0.25">
      <c r="A197" s="25"/>
      <c r="B197" s="38"/>
      <c r="C197" s="42"/>
      <c r="D197" s="38"/>
      <c r="E197" s="39"/>
      <c r="F197" s="45"/>
      <c r="G197" s="38"/>
      <c r="H197" s="45"/>
      <c r="I197" s="39"/>
      <c r="J197" s="39"/>
      <c r="K197" s="38"/>
      <c r="L197" s="42"/>
      <c r="M197" s="43"/>
      <c r="N197" s="38"/>
      <c r="O197" s="38"/>
      <c r="P197" s="38"/>
    </row>
    <row r="198" spans="1:16" x14ac:dyDescent="0.25">
      <c r="A198" s="25"/>
      <c r="B198" s="38"/>
      <c r="C198" s="42"/>
      <c r="D198" s="38"/>
      <c r="E198" s="39"/>
      <c r="F198" s="45"/>
      <c r="G198" s="38"/>
      <c r="H198" s="45"/>
      <c r="I198" s="39"/>
      <c r="J198" s="39"/>
      <c r="K198" s="38"/>
      <c r="L198" s="42"/>
      <c r="M198" s="43"/>
      <c r="N198" s="38"/>
      <c r="O198" s="38"/>
      <c r="P198" s="38"/>
    </row>
    <row r="199" spans="1:16" x14ac:dyDescent="0.25">
      <c r="A199" s="25"/>
      <c r="B199" s="38"/>
      <c r="C199" s="42"/>
      <c r="D199" s="38"/>
      <c r="E199" s="39"/>
      <c r="F199" s="45"/>
      <c r="G199" s="38"/>
      <c r="H199" s="45"/>
      <c r="I199" s="39"/>
      <c r="J199" s="39"/>
      <c r="K199" s="38"/>
      <c r="L199" s="42"/>
      <c r="M199" s="43"/>
      <c r="N199" s="38"/>
      <c r="O199" s="38"/>
      <c r="P199" s="38"/>
    </row>
    <row r="200" spans="1:16" x14ac:dyDescent="0.25">
      <c r="A200" s="25"/>
      <c r="B200" s="38"/>
      <c r="C200" s="42"/>
      <c r="D200" s="38"/>
      <c r="E200" s="39"/>
      <c r="F200" s="45"/>
      <c r="G200" s="38"/>
      <c r="H200" s="45"/>
      <c r="I200" s="39"/>
      <c r="J200" s="39"/>
      <c r="K200" s="38"/>
      <c r="L200" s="42"/>
      <c r="M200" s="43"/>
      <c r="N200" s="38"/>
      <c r="O200" s="38"/>
      <c r="P200" s="38"/>
    </row>
    <row r="201" spans="1:16" x14ac:dyDescent="0.25">
      <c r="A201" s="25"/>
      <c r="B201" s="38"/>
      <c r="C201" s="42"/>
      <c r="D201" s="38"/>
      <c r="E201" s="39"/>
      <c r="F201" s="45"/>
      <c r="G201" s="38"/>
      <c r="H201" s="45"/>
      <c r="I201" s="39"/>
      <c r="J201" s="39"/>
      <c r="K201" s="38"/>
      <c r="L201" s="42"/>
      <c r="M201" s="43"/>
      <c r="N201" s="38"/>
      <c r="O201" s="38"/>
      <c r="P201" s="38"/>
    </row>
    <row r="202" spans="1:16" x14ac:dyDescent="0.25">
      <c r="A202" s="25"/>
      <c r="B202" s="38"/>
      <c r="C202" s="42"/>
      <c r="D202" s="38"/>
      <c r="E202" s="39"/>
      <c r="F202" s="45"/>
      <c r="G202" s="38"/>
      <c r="H202" s="45"/>
      <c r="I202" s="39"/>
      <c r="J202" s="39"/>
      <c r="K202" s="38"/>
      <c r="L202" s="42"/>
      <c r="M202" s="43"/>
      <c r="N202" s="38"/>
      <c r="O202" s="38"/>
      <c r="P202" s="38"/>
    </row>
    <row r="203" spans="1:16" x14ac:dyDescent="0.25">
      <c r="A203" s="25"/>
      <c r="B203" s="38"/>
      <c r="C203" s="42"/>
      <c r="D203" s="38"/>
      <c r="E203" s="39"/>
      <c r="F203" s="45"/>
      <c r="G203" s="38"/>
      <c r="H203" s="45"/>
      <c r="I203" s="39"/>
      <c r="J203" s="39"/>
      <c r="K203" s="38"/>
      <c r="L203" s="42"/>
      <c r="M203" s="43"/>
      <c r="N203" s="38"/>
      <c r="O203" s="38"/>
      <c r="P203" s="38"/>
    </row>
    <row r="204" spans="1:16" x14ac:dyDescent="0.25">
      <c r="A204" s="25"/>
      <c r="B204" s="38"/>
      <c r="C204" s="42"/>
      <c r="D204" s="38"/>
      <c r="E204" s="39"/>
      <c r="F204" s="45"/>
      <c r="G204" s="38"/>
      <c r="H204" s="45"/>
      <c r="I204" s="39"/>
      <c r="J204" s="39"/>
      <c r="K204" s="38"/>
      <c r="L204" s="42"/>
      <c r="M204" s="43"/>
      <c r="N204" s="38"/>
      <c r="O204" s="38"/>
      <c r="P204" s="38"/>
    </row>
    <row r="205" spans="1:16" x14ac:dyDescent="0.25">
      <c r="A205" s="25"/>
      <c r="B205" s="38"/>
      <c r="C205" s="42"/>
      <c r="D205" s="38"/>
      <c r="E205" s="39"/>
      <c r="F205" s="45"/>
      <c r="G205" s="38"/>
      <c r="H205" s="45"/>
      <c r="I205" s="39"/>
      <c r="J205" s="39"/>
      <c r="K205" s="38"/>
      <c r="L205" s="42"/>
      <c r="M205" s="43"/>
      <c r="N205" s="38"/>
      <c r="O205" s="38"/>
      <c r="P205" s="38"/>
    </row>
    <row r="206" spans="1:16" x14ac:dyDescent="0.25">
      <c r="A206" s="25"/>
      <c r="B206" s="38"/>
      <c r="C206" s="42"/>
      <c r="D206" s="38"/>
      <c r="E206" s="39"/>
      <c r="F206" s="45"/>
      <c r="G206" s="38"/>
      <c r="H206" s="45"/>
      <c r="I206" s="39"/>
      <c r="J206" s="39"/>
      <c r="K206" s="38"/>
      <c r="L206" s="42"/>
      <c r="M206" s="43"/>
      <c r="N206" s="38"/>
      <c r="O206" s="38"/>
      <c r="P206" s="38"/>
    </row>
    <row r="207" spans="1:16" x14ac:dyDescent="0.25">
      <c r="A207" s="25"/>
      <c r="B207" s="38"/>
      <c r="C207" s="42"/>
      <c r="D207" s="38"/>
      <c r="E207" s="39"/>
      <c r="F207" s="45"/>
      <c r="G207" s="38"/>
      <c r="H207" s="45"/>
      <c r="I207" s="39"/>
      <c r="J207" s="39"/>
      <c r="K207" s="38"/>
      <c r="L207" s="42"/>
      <c r="M207" s="43"/>
      <c r="N207" s="38"/>
      <c r="O207" s="38"/>
      <c r="P207" s="38"/>
    </row>
    <row r="208" spans="1:16" x14ac:dyDescent="0.25">
      <c r="A208" s="25"/>
      <c r="B208" s="38"/>
      <c r="C208" s="42"/>
      <c r="D208" s="38"/>
      <c r="E208" s="39"/>
      <c r="F208" s="45"/>
      <c r="G208" s="38"/>
      <c r="H208" s="45"/>
      <c r="I208" s="39"/>
      <c r="J208" s="39"/>
      <c r="K208" s="38"/>
      <c r="L208" s="42"/>
      <c r="M208" s="43"/>
      <c r="N208" s="38"/>
      <c r="O208" s="38"/>
      <c r="P208" s="38"/>
    </row>
    <row r="209" spans="1:16" x14ac:dyDescent="0.25">
      <c r="A209" s="25"/>
      <c r="B209" s="38"/>
      <c r="C209" s="42"/>
      <c r="D209" s="38"/>
      <c r="E209" s="39"/>
      <c r="F209" s="45"/>
      <c r="G209" s="38"/>
      <c r="H209" s="45"/>
      <c r="I209" s="39"/>
      <c r="J209" s="39"/>
      <c r="K209" s="38"/>
      <c r="L209" s="42"/>
      <c r="M209" s="43"/>
      <c r="N209" s="38"/>
      <c r="O209" s="38"/>
      <c r="P209" s="38"/>
    </row>
    <row r="210" spans="1:16" x14ac:dyDescent="0.25">
      <c r="A210" s="25"/>
      <c r="B210" s="38"/>
      <c r="C210" s="42"/>
      <c r="D210" s="38"/>
      <c r="E210" s="39"/>
      <c r="F210" s="45"/>
      <c r="G210" s="38"/>
      <c r="H210" s="45"/>
      <c r="I210" s="39"/>
      <c r="J210" s="39"/>
      <c r="K210" s="38"/>
      <c r="L210" s="42"/>
      <c r="M210" s="43"/>
      <c r="N210" s="38"/>
      <c r="O210" s="38"/>
      <c r="P210" s="38"/>
    </row>
    <row r="211" spans="1:16" x14ac:dyDescent="0.25">
      <c r="A211" s="25"/>
      <c r="B211" s="38"/>
      <c r="C211" s="42"/>
      <c r="D211" s="38"/>
      <c r="E211" s="39"/>
      <c r="F211" s="45"/>
      <c r="G211" s="38"/>
      <c r="H211" s="45"/>
      <c r="I211" s="39"/>
      <c r="J211" s="39"/>
      <c r="K211" s="38"/>
      <c r="L211" s="42"/>
      <c r="M211" s="43"/>
      <c r="N211" s="38"/>
      <c r="O211" s="38"/>
      <c r="P211" s="38"/>
    </row>
    <row r="212" spans="1:16" x14ac:dyDescent="0.25">
      <c r="A212" s="25"/>
      <c r="B212" s="38"/>
      <c r="C212" s="42"/>
      <c r="D212" s="38"/>
      <c r="E212" s="39"/>
      <c r="F212" s="45"/>
      <c r="G212" s="38"/>
      <c r="H212" s="45"/>
      <c r="I212" s="39"/>
      <c r="J212" s="39"/>
      <c r="K212" s="38"/>
      <c r="L212" s="42"/>
      <c r="M212" s="43"/>
      <c r="N212" s="38"/>
      <c r="O212" s="38"/>
      <c r="P212" s="38"/>
    </row>
    <row r="213" spans="1:16" x14ac:dyDescent="0.25">
      <c r="A213" s="25"/>
      <c r="B213" s="38"/>
      <c r="C213" s="42"/>
      <c r="D213" s="38"/>
      <c r="E213" s="39"/>
      <c r="F213" s="45"/>
      <c r="G213" s="38"/>
      <c r="H213" s="45"/>
      <c r="I213" s="39"/>
      <c r="J213" s="39"/>
      <c r="K213" s="38"/>
      <c r="L213" s="42"/>
      <c r="M213" s="43"/>
      <c r="N213" s="38"/>
      <c r="O213" s="38"/>
      <c r="P213" s="38"/>
    </row>
    <row r="214" spans="1:16" x14ac:dyDescent="0.25">
      <c r="A214" s="25"/>
      <c r="B214" s="38"/>
      <c r="C214" s="42"/>
      <c r="D214" s="38"/>
      <c r="E214" s="39"/>
      <c r="F214" s="45"/>
      <c r="G214" s="38"/>
      <c r="H214" s="45"/>
      <c r="I214" s="39"/>
      <c r="J214" s="39"/>
      <c r="K214" s="38"/>
      <c r="L214" s="42"/>
      <c r="M214" s="43"/>
      <c r="N214" s="38"/>
      <c r="O214" s="38"/>
      <c r="P214" s="38"/>
    </row>
    <row r="215" spans="1:16" x14ac:dyDescent="0.25">
      <c r="A215" s="25"/>
      <c r="B215" s="38"/>
      <c r="C215" s="42"/>
      <c r="D215" s="38"/>
      <c r="E215" s="39"/>
      <c r="F215" s="45"/>
      <c r="G215" s="38"/>
      <c r="H215" s="45"/>
      <c r="I215" s="39"/>
      <c r="J215" s="39"/>
      <c r="K215" s="38"/>
      <c r="L215" s="42"/>
      <c r="M215" s="43"/>
      <c r="N215" s="38"/>
      <c r="O215" s="38"/>
      <c r="P215" s="38"/>
    </row>
    <row r="216" spans="1:16" x14ac:dyDescent="0.25">
      <c r="A216" s="25"/>
      <c r="B216" s="38"/>
      <c r="C216" s="42"/>
      <c r="D216" s="38"/>
      <c r="E216" s="39"/>
      <c r="F216" s="45"/>
      <c r="G216" s="38"/>
      <c r="H216" s="45"/>
      <c r="I216" s="39"/>
      <c r="J216" s="39"/>
      <c r="K216" s="38"/>
      <c r="L216" s="42"/>
      <c r="M216" s="43"/>
      <c r="N216" s="38"/>
      <c r="O216" s="38"/>
      <c r="P216" s="38"/>
    </row>
    <row r="217" spans="1:16" x14ac:dyDescent="0.25">
      <c r="A217" s="25"/>
      <c r="B217" s="38"/>
      <c r="C217" s="42"/>
      <c r="D217" s="38"/>
      <c r="E217" s="39"/>
      <c r="F217" s="45"/>
      <c r="G217" s="38"/>
      <c r="H217" s="45"/>
      <c r="I217" s="39"/>
      <c r="J217" s="39"/>
      <c r="K217" s="38"/>
      <c r="L217" s="42"/>
      <c r="M217" s="43"/>
      <c r="N217" s="38"/>
      <c r="O217" s="38"/>
      <c r="P217" s="38"/>
    </row>
    <row r="218" spans="1:16" x14ac:dyDescent="0.25">
      <c r="A218" s="25"/>
      <c r="B218" s="38"/>
      <c r="C218" s="42"/>
      <c r="D218" s="38"/>
      <c r="E218" s="39"/>
      <c r="F218" s="45"/>
      <c r="G218" s="38"/>
      <c r="H218" s="45"/>
      <c r="I218" s="39"/>
      <c r="J218" s="39"/>
      <c r="K218" s="38"/>
      <c r="L218" s="42"/>
      <c r="M218" s="43"/>
      <c r="N218" s="38"/>
      <c r="O218" s="38"/>
      <c r="P218" s="38"/>
    </row>
    <row r="219" spans="1:16" x14ac:dyDescent="0.25">
      <c r="A219" s="25"/>
      <c r="B219" s="38"/>
      <c r="C219" s="42"/>
      <c r="D219" s="38"/>
      <c r="E219" s="39"/>
      <c r="F219" s="45"/>
      <c r="G219" s="38"/>
      <c r="H219" s="45"/>
      <c r="I219" s="39"/>
      <c r="J219" s="39"/>
      <c r="K219" s="38"/>
      <c r="L219" s="42"/>
      <c r="M219" s="43"/>
      <c r="N219" s="38"/>
      <c r="O219" s="38"/>
      <c r="P219" s="38"/>
    </row>
    <row r="220" spans="1:16" x14ac:dyDescent="0.25">
      <c r="A220" s="25"/>
      <c r="B220" s="38"/>
      <c r="C220" s="42"/>
      <c r="D220" s="38"/>
      <c r="E220" s="39"/>
      <c r="F220" s="45"/>
      <c r="G220" s="38"/>
      <c r="H220" s="45"/>
      <c r="I220" s="39"/>
      <c r="J220" s="39"/>
      <c r="K220" s="38"/>
      <c r="L220" s="42"/>
      <c r="M220" s="43"/>
      <c r="N220" s="38"/>
      <c r="O220" s="38"/>
      <c r="P220" s="38"/>
    </row>
    <row r="221" spans="1:16" x14ac:dyDescent="0.25">
      <c r="A221" s="25"/>
      <c r="B221" s="38"/>
      <c r="C221" s="42"/>
      <c r="D221" s="38"/>
      <c r="E221" s="39"/>
      <c r="F221" s="45"/>
      <c r="G221" s="38"/>
      <c r="H221" s="45"/>
      <c r="I221" s="39"/>
      <c r="J221" s="39"/>
      <c r="K221" s="38"/>
      <c r="L221" s="42"/>
      <c r="M221" s="43"/>
      <c r="N221" s="38"/>
      <c r="O221" s="38"/>
      <c r="P221" s="38"/>
    </row>
    <row r="222" spans="1:16" x14ac:dyDescent="0.25">
      <c r="A222" s="25"/>
      <c r="B222" s="38"/>
      <c r="C222" s="42"/>
      <c r="D222" s="38"/>
      <c r="E222" s="39"/>
      <c r="F222" s="45"/>
      <c r="G222" s="38"/>
      <c r="H222" s="45"/>
      <c r="I222" s="39"/>
      <c r="J222" s="39"/>
      <c r="K222" s="38"/>
      <c r="L222" s="42"/>
      <c r="M222" s="43"/>
      <c r="N222" s="38"/>
      <c r="O222" s="38"/>
      <c r="P222" s="38"/>
    </row>
    <row r="223" spans="1:16" x14ac:dyDescent="0.25">
      <c r="A223" s="25"/>
      <c r="B223" s="38"/>
      <c r="C223" s="42"/>
      <c r="D223" s="38"/>
      <c r="E223" s="39"/>
      <c r="F223" s="45"/>
      <c r="G223" s="38"/>
      <c r="H223" s="45"/>
      <c r="I223" s="39"/>
      <c r="J223" s="39"/>
      <c r="K223" s="38"/>
      <c r="L223" s="42"/>
      <c r="M223" s="43"/>
      <c r="N223" s="38"/>
      <c r="O223" s="38"/>
      <c r="P223" s="38"/>
    </row>
    <row r="224" spans="1:16" x14ac:dyDescent="0.25">
      <c r="A224" s="25"/>
      <c r="B224" s="38"/>
      <c r="C224" s="42"/>
      <c r="D224" s="38"/>
      <c r="E224" s="39"/>
      <c r="F224" s="40"/>
      <c r="G224" s="38"/>
      <c r="H224" s="45"/>
      <c r="I224" s="39"/>
      <c r="J224" s="39"/>
      <c r="K224" s="38"/>
      <c r="L224" s="42"/>
      <c r="M224" s="43"/>
      <c r="N224" s="38"/>
      <c r="O224" s="38"/>
      <c r="P224" s="38"/>
    </row>
    <row r="225" spans="1:16" x14ac:dyDescent="0.25">
      <c r="A225" s="25"/>
      <c r="B225" s="38"/>
      <c r="C225" s="42"/>
      <c r="D225" s="38"/>
      <c r="E225" s="39"/>
      <c r="F225" s="40"/>
      <c r="G225" s="38"/>
      <c r="H225" s="45"/>
      <c r="I225" s="39"/>
      <c r="J225" s="39"/>
      <c r="K225" s="38"/>
      <c r="L225" s="42"/>
      <c r="M225" s="43"/>
      <c r="N225" s="38"/>
      <c r="O225" s="38"/>
      <c r="P225" s="38"/>
    </row>
    <row r="226" spans="1:16" x14ac:dyDescent="0.25">
      <c r="A226" s="25"/>
      <c r="B226" s="38"/>
      <c r="C226" s="38"/>
      <c r="D226" s="38"/>
      <c r="E226" s="38"/>
      <c r="F226" s="38"/>
      <c r="G226" s="39"/>
      <c r="H226" s="45"/>
      <c r="I226" s="39"/>
      <c r="J226" s="39"/>
      <c r="K226" s="38"/>
      <c r="L226" s="42"/>
      <c r="M226" s="43"/>
      <c r="N226" s="38"/>
      <c r="O226" s="38"/>
      <c r="P226" s="38"/>
    </row>
    <row r="227" spans="1:16" x14ac:dyDescent="0.25">
      <c r="A227" s="25"/>
      <c r="B227" s="38"/>
      <c r="C227" s="38"/>
      <c r="D227" s="38"/>
      <c r="E227" s="38"/>
      <c r="F227" s="38"/>
      <c r="G227" s="39"/>
      <c r="H227" s="45"/>
      <c r="I227" s="39"/>
      <c r="J227" s="39"/>
      <c r="K227" s="38"/>
      <c r="L227" s="42"/>
      <c r="M227" s="43"/>
      <c r="N227" s="38"/>
      <c r="O227" s="38"/>
      <c r="P227" s="38"/>
    </row>
    <row r="228" spans="1:16" x14ac:dyDescent="0.25">
      <c r="A228" s="25"/>
      <c r="B228" s="38"/>
      <c r="C228" s="38"/>
      <c r="D228" s="38"/>
      <c r="E228" s="38"/>
      <c r="F228" s="38"/>
      <c r="G228" s="39"/>
      <c r="H228" s="45"/>
      <c r="I228" s="39"/>
      <c r="J228" s="39"/>
      <c r="K228" s="38"/>
      <c r="L228" s="42"/>
      <c r="M228" s="43"/>
      <c r="N228" s="38"/>
      <c r="O228" s="38"/>
      <c r="P228" s="38"/>
    </row>
    <row r="229" spans="1:16" x14ac:dyDescent="0.25">
      <c r="A229" s="25"/>
      <c r="B229" s="38"/>
      <c r="C229" s="38"/>
      <c r="D229" s="38"/>
      <c r="E229" s="38"/>
      <c r="F229" s="38"/>
      <c r="G229" s="39"/>
      <c r="H229" s="45"/>
      <c r="I229" s="39"/>
      <c r="J229" s="39"/>
      <c r="K229" s="38"/>
      <c r="L229" s="42"/>
      <c r="M229" s="43"/>
      <c r="N229" s="38"/>
      <c r="O229" s="38"/>
      <c r="P229" s="38"/>
    </row>
    <row r="230" spans="1:16" x14ac:dyDescent="0.25">
      <c r="A230" s="25"/>
      <c r="B230" s="38"/>
      <c r="C230" s="38"/>
      <c r="D230" s="38"/>
      <c r="E230" s="38"/>
      <c r="F230" s="38"/>
      <c r="G230" s="39"/>
      <c r="H230" s="45"/>
      <c r="I230" s="39"/>
      <c r="J230" s="39"/>
      <c r="K230" s="38"/>
      <c r="L230" s="42"/>
      <c r="M230" s="43"/>
      <c r="N230" s="38"/>
      <c r="O230" s="38"/>
      <c r="P230" s="38"/>
    </row>
    <row r="231" spans="1:16" x14ac:dyDescent="0.25">
      <c r="A231" s="25"/>
      <c r="B231" s="38"/>
      <c r="C231" s="38"/>
      <c r="D231" s="38"/>
      <c r="E231" s="38"/>
      <c r="F231" s="38"/>
      <c r="G231" s="39"/>
      <c r="H231" s="45"/>
      <c r="I231" s="39"/>
      <c r="J231" s="39"/>
      <c r="K231" s="38"/>
      <c r="L231" s="42"/>
      <c r="M231" s="43"/>
      <c r="N231" s="38"/>
      <c r="O231" s="38"/>
      <c r="P231" s="38"/>
    </row>
    <row r="232" spans="1:16" x14ac:dyDescent="0.25">
      <c r="A232" s="25"/>
      <c r="B232" s="38"/>
      <c r="C232" s="38"/>
      <c r="D232" s="38"/>
      <c r="E232" s="38"/>
      <c r="F232" s="38"/>
      <c r="G232" s="39"/>
      <c r="H232" s="45"/>
      <c r="I232" s="39"/>
      <c r="J232" s="39"/>
      <c r="K232" s="38"/>
      <c r="L232" s="42"/>
      <c r="M232" s="43"/>
      <c r="N232" s="38"/>
      <c r="O232" s="38"/>
      <c r="P232" s="38"/>
    </row>
    <row r="233" spans="1:16" x14ac:dyDescent="0.25">
      <c r="A233" s="25"/>
      <c r="B233" s="38"/>
      <c r="C233" s="38"/>
      <c r="D233" s="38"/>
      <c r="E233" s="38"/>
      <c r="F233" s="38"/>
      <c r="G233" s="39"/>
      <c r="H233" s="45"/>
      <c r="I233" s="39"/>
      <c r="J233" s="39"/>
      <c r="K233" s="38"/>
      <c r="L233" s="42"/>
      <c r="M233" s="43"/>
      <c r="N233" s="38"/>
      <c r="O233" s="38"/>
      <c r="P233" s="38"/>
    </row>
    <row r="234" spans="1:16" x14ac:dyDescent="0.25">
      <c r="A234" s="25"/>
      <c r="B234" s="38"/>
      <c r="C234" s="38"/>
      <c r="D234" s="38"/>
      <c r="E234" s="38"/>
      <c r="F234" s="38"/>
      <c r="G234" s="39"/>
      <c r="H234" s="45"/>
      <c r="I234" s="39"/>
      <c r="J234" s="39"/>
      <c r="K234" s="38"/>
      <c r="L234" s="42"/>
      <c r="M234" s="43"/>
      <c r="N234" s="38"/>
      <c r="O234" s="38"/>
      <c r="P234" s="38"/>
    </row>
    <row r="235" spans="1:16" x14ac:dyDescent="0.25">
      <c r="A235" s="25"/>
      <c r="B235" s="38"/>
      <c r="C235" s="38"/>
      <c r="D235" s="38"/>
      <c r="E235" s="38"/>
      <c r="F235" s="38"/>
      <c r="G235" s="39"/>
      <c r="H235" s="45"/>
      <c r="I235" s="39"/>
      <c r="J235" s="39"/>
      <c r="K235" s="38"/>
      <c r="L235" s="42"/>
      <c r="M235" s="43"/>
      <c r="N235" s="38"/>
      <c r="O235" s="38"/>
      <c r="P235" s="38"/>
    </row>
    <row r="236" spans="1:16" x14ac:dyDescent="0.25">
      <c r="A236" s="25"/>
      <c r="B236" s="38"/>
      <c r="C236" s="38"/>
      <c r="D236" s="38"/>
      <c r="E236" s="38"/>
      <c r="F236" s="38"/>
      <c r="G236" s="39"/>
      <c r="H236" s="45"/>
      <c r="I236" s="39"/>
      <c r="J236" s="39"/>
      <c r="K236" s="38"/>
      <c r="L236" s="42"/>
      <c r="M236" s="43"/>
      <c r="N236" s="38"/>
      <c r="O236" s="38"/>
      <c r="P236" s="38"/>
    </row>
    <row r="237" spans="1:16" x14ac:dyDescent="0.25">
      <c r="A237" s="25"/>
      <c r="B237" s="38"/>
      <c r="C237" s="38"/>
      <c r="D237" s="38"/>
      <c r="E237" s="38"/>
      <c r="F237" s="38"/>
      <c r="G237" s="39"/>
      <c r="H237" s="45"/>
      <c r="I237" s="39"/>
      <c r="J237" s="39"/>
      <c r="K237" s="38"/>
      <c r="L237" s="42"/>
      <c r="M237" s="43"/>
      <c r="N237" s="38"/>
      <c r="O237" s="38"/>
      <c r="P237" s="38"/>
    </row>
    <row r="238" spans="1:16" x14ac:dyDescent="0.25">
      <c r="A238" s="25"/>
      <c r="B238" s="38"/>
      <c r="C238" s="38"/>
      <c r="D238" s="38"/>
      <c r="E238" s="38"/>
      <c r="F238" s="38"/>
      <c r="G238" s="39"/>
      <c r="H238" s="45"/>
      <c r="I238" s="39"/>
      <c r="J238" s="39"/>
      <c r="K238" s="38"/>
      <c r="L238" s="42"/>
      <c r="M238" s="43"/>
      <c r="N238" s="38"/>
      <c r="O238" s="38"/>
      <c r="P238" s="38"/>
    </row>
    <row r="239" spans="1:16" x14ac:dyDescent="0.25">
      <c r="A239" s="25"/>
      <c r="B239" s="38"/>
      <c r="C239" s="38"/>
      <c r="D239" s="38"/>
      <c r="E239" s="38"/>
      <c r="F239" s="38"/>
      <c r="G239" s="39"/>
      <c r="H239" s="45"/>
      <c r="I239" s="39"/>
      <c r="J239" s="39"/>
      <c r="K239" s="38"/>
      <c r="L239" s="42"/>
      <c r="M239" s="43"/>
      <c r="N239" s="38"/>
      <c r="O239" s="38"/>
      <c r="P239" s="38"/>
    </row>
    <row r="240" spans="1:16" x14ac:dyDescent="0.25">
      <c r="A240" s="25"/>
      <c r="B240" s="38"/>
      <c r="C240" s="38"/>
      <c r="D240" s="38"/>
      <c r="E240" s="38"/>
      <c r="F240" s="38"/>
      <c r="G240" s="39"/>
      <c r="H240" s="45"/>
      <c r="I240" s="39"/>
      <c r="J240" s="39"/>
      <c r="K240" s="38"/>
      <c r="L240" s="42"/>
      <c r="M240" s="43"/>
      <c r="N240" s="38"/>
      <c r="O240" s="38"/>
      <c r="P240" s="38"/>
    </row>
    <row r="241" spans="1:16" x14ac:dyDescent="0.25">
      <c r="A241" s="25"/>
      <c r="B241" s="38"/>
      <c r="C241" s="38"/>
      <c r="D241" s="38"/>
      <c r="E241" s="38"/>
      <c r="F241" s="38"/>
      <c r="G241" s="39"/>
      <c r="H241" s="45"/>
      <c r="I241" s="39"/>
      <c r="J241" s="39"/>
      <c r="K241" s="38"/>
      <c r="L241" s="42"/>
      <c r="M241" s="43"/>
      <c r="N241" s="38"/>
      <c r="O241" s="38"/>
      <c r="P241" s="38"/>
    </row>
    <row r="242" spans="1:16" x14ac:dyDescent="0.25">
      <c r="A242" s="25"/>
      <c r="B242" s="38"/>
      <c r="C242" s="38"/>
      <c r="D242" s="38"/>
      <c r="E242" s="38"/>
      <c r="F242" s="38"/>
      <c r="G242" s="39"/>
      <c r="H242" s="45"/>
      <c r="I242" s="39"/>
      <c r="J242" s="39"/>
      <c r="K242" s="38"/>
      <c r="L242" s="42"/>
      <c r="M242" s="43"/>
      <c r="N242" s="38"/>
      <c r="O242" s="38"/>
      <c r="P242" s="38"/>
    </row>
    <row r="243" spans="1:16" x14ac:dyDescent="0.25">
      <c r="A243" s="25"/>
      <c r="B243" s="38"/>
      <c r="C243" s="38"/>
      <c r="D243" s="38"/>
      <c r="E243" s="38"/>
      <c r="F243" s="38"/>
      <c r="G243" s="39"/>
      <c r="H243" s="45"/>
      <c r="I243" s="39"/>
      <c r="J243" s="39"/>
      <c r="K243" s="38"/>
      <c r="L243" s="42"/>
      <c r="M243" s="43"/>
      <c r="N243" s="38"/>
      <c r="O243" s="38"/>
      <c r="P243" s="38"/>
    </row>
    <row r="244" spans="1:16" x14ac:dyDescent="0.25">
      <c r="A244" s="25"/>
      <c r="B244" s="38"/>
      <c r="C244" s="38"/>
      <c r="D244" s="38"/>
      <c r="E244" s="38"/>
      <c r="F244" s="38"/>
      <c r="G244" s="39"/>
      <c r="H244" s="45"/>
      <c r="I244" s="39"/>
      <c r="J244" s="39"/>
      <c r="K244" s="38"/>
      <c r="L244" s="42"/>
      <c r="M244" s="43"/>
      <c r="N244" s="38"/>
      <c r="O244" s="38"/>
      <c r="P244" s="38"/>
    </row>
    <row r="245" spans="1:16" x14ac:dyDescent="0.25">
      <c r="A245" s="25"/>
      <c r="B245" s="38"/>
      <c r="C245" s="38"/>
      <c r="D245" s="38"/>
      <c r="E245" s="38"/>
      <c r="F245" s="38"/>
      <c r="G245" s="39"/>
      <c r="H245" s="45"/>
      <c r="I245" s="39"/>
      <c r="J245" s="39"/>
      <c r="K245" s="38"/>
      <c r="L245" s="42"/>
      <c r="M245" s="43"/>
      <c r="N245" s="38"/>
      <c r="O245" s="38"/>
      <c r="P245" s="38"/>
    </row>
    <row r="246" spans="1:16" x14ac:dyDescent="0.25">
      <c r="A246" s="25"/>
      <c r="B246" s="38"/>
      <c r="C246" s="38"/>
      <c r="D246" s="38"/>
      <c r="E246" s="38"/>
      <c r="F246" s="38"/>
      <c r="G246" s="39"/>
      <c r="H246" s="45"/>
      <c r="I246" s="39"/>
      <c r="J246" s="39"/>
      <c r="K246" s="38"/>
      <c r="L246" s="42"/>
      <c r="M246" s="43"/>
      <c r="N246" s="38"/>
      <c r="O246" s="38"/>
      <c r="P246" s="38"/>
    </row>
    <row r="247" spans="1:16" x14ac:dyDescent="0.25">
      <c r="A247" s="25"/>
      <c r="B247" s="38"/>
      <c r="C247" s="38"/>
      <c r="D247" s="38"/>
      <c r="E247" s="38"/>
      <c r="F247" s="38"/>
      <c r="G247" s="39"/>
      <c r="H247" s="45"/>
      <c r="I247" s="39"/>
      <c r="J247" s="39"/>
      <c r="K247" s="38"/>
      <c r="L247" s="42"/>
      <c r="M247" s="43"/>
      <c r="N247" s="38"/>
      <c r="O247" s="38"/>
      <c r="P247" s="38"/>
    </row>
    <row r="248" spans="1:16" x14ac:dyDescent="0.25">
      <c r="A248" s="25"/>
      <c r="B248" s="38"/>
      <c r="C248" s="38"/>
      <c r="D248" s="38"/>
      <c r="E248" s="38"/>
      <c r="F248" s="38"/>
      <c r="G248" s="39"/>
      <c r="H248" s="45"/>
      <c r="I248" s="39"/>
      <c r="J248" s="39"/>
      <c r="K248" s="38"/>
      <c r="L248" s="42"/>
      <c r="M248" s="43"/>
      <c r="N248" s="38"/>
      <c r="O248" s="38"/>
      <c r="P248" s="38"/>
    </row>
    <row r="249" spans="1:16" x14ac:dyDescent="0.25">
      <c r="A249" s="25"/>
      <c r="B249" s="38"/>
      <c r="C249" s="38"/>
      <c r="D249" s="38"/>
      <c r="E249" s="38"/>
      <c r="F249" s="38"/>
      <c r="G249" s="39"/>
      <c r="H249" s="45"/>
      <c r="I249" s="39"/>
      <c r="J249" s="39"/>
      <c r="K249" s="38"/>
      <c r="L249" s="42"/>
      <c r="M249" s="43"/>
      <c r="N249" s="38"/>
      <c r="O249" s="38"/>
      <c r="P249" s="38"/>
    </row>
    <row r="250" spans="1:16" x14ac:dyDescent="0.25">
      <c r="A250" s="25"/>
      <c r="B250" s="38"/>
      <c r="C250" s="38"/>
      <c r="D250" s="38"/>
      <c r="E250" s="38"/>
      <c r="F250" s="38"/>
      <c r="G250" s="39"/>
      <c r="H250" s="45"/>
      <c r="I250" s="39"/>
      <c r="J250" s="39"/>
      <c r="K250" s="38"/>
      <c r="L250" s="42"/>
      <c r="M250" s="43"/>
      <c r="N250" s="38"/>
      <c r="O250" s="38"/>
      <c r="P250" s="38"/>
    </row>
    <row r="251" spans="1:16" x14ac:dyDescent="0.25">
      <c r="A251" s="25"/>
      <c r="B251" s="38"/>
      <c r="C251" s="38"/>
      <c r="D251" s="38"/>
      <c r="E251" s="38"/>
      <c r="F251" s="38"/>
      <c r="G251" s="39"/>
      <c r="H251" s="45"/>
      <c r="I251" s="39"/>
      <c r="J251" s="39"/>
      <c r="K251" s="38"/>
      <c r="L251" s="42"/>
      <c r="M251" s="43"/>
      <c r="N251" s="38"/>
      <c r="O251" s="38"/>
      <c r="P251" s="38"/>
    </row>
    <row r="252" spans="1:16" x14ac:dyDescent="0.25">
      <c r="A252" s="25"/>
      <c r="B252" s="38"/>
      <c r="C252" s="38"/>
      <c r="D252" s="38"/>
      <c r="E252" s="38"/>
      <c r="F252" s="38"/>
      <c r="G252" s="39"/>
      <c r="H252" s="45"/>
      <c r="I252" s="39"/>
      <c r="J252" s="39"/>
      <c r="K252" s="38"/>
      <c r="L252" s="42"/>
      <c r="M252" s="43"/>
      <c r="N252" s="38"/>
      <c r="O252" s="38"/>
      <c r="P252" s="38"/>
    </row>
    <row r="253" spans="1:16" x14ac:dyDescent="0.25">
      <c r="A253" s="25"/>
      <c r="B253" s="38"/>
      <c r="C253" s="38"/>
      <c r="D253" s="38"/>
      <c r="E253" s="38"/>
      <c r="F253" s="38"/>
      <c r="G253" s="39"/>
      <c r="H253" s="45"/>
      <c r="I253" s="39"/>
      <c r="J253" s="39"/>
      <c r="K253" s="38"/>
      <c r="L253" s="42"/>
      <c r="M253" s="43"/>
      <c r="N253" s="38"/>
      <c r="O253" s="38"/>
      <c r="P253" s="38"/>
    </row>
    <row r="254" spans="1:16" x14ac:dyDescent="0.25">
      <c r="A254" s="25"/>
      <c r="B254" s="38"/>
      <c r="C254" s="38"/>
      <c r="D254" s="38"/>
      <c r="E254" s="38"/>
      <c r="F254" s="38"/>
      <c r="G254" s="39"/>
      <c r="H254" s="45"/>
      <c r="I254" s="39"/>
      <c r="J254" s="39"/>
      <c r="K254" s="38"/>
      <c r="L254" s="42"/>
      <c r="M254" s="43"/>
      <c r="N254" s="38"/>
      <c r="O254" s="38"/>
      <c r="P254" s="38"/>
    </row>
    <row r="255" spans="1:16" x14ac:dyDescent="0.25">
      <c r="A255" s="25"/>
      <c r="B255" s="38"/>
      <c r="C255" s="38"/>
      <c r="D255" s="38"/>
      <c r="E255" s="38"/>
      <c r="F255" s="38"/>
      <c r="G255" s="39"/>
      <c r="H255" s="45"/>
      <c r="I255" s="39"/>
      <c r="J255" s="39"/>
      <c r="K255" s="38"/>
      <c r="L255" s="42"/>
      <c r="M255" s="43"/>
      <c r="N255" s="38"/>
      <c r="O255" s="38"/>
      <c r="P255" s="38"/>
    </row>
    <row r="256" spans="1:16" x14ac:dyDescent="0.25">
      <c r="A256" s="25"/>
      <c r="B256" s="38"/>
      <c r="C256" s="38"/>
      <c r="D256" s="38"/>
      <c r="E256" s="38"/>
      <c r="F256" s="38"/>
      <c r="G256" s="39"/>
      <c r="H256" s="45"/>
      <c r="I256" s="39"/>
      <c r="J256" s="39"/>
      <c r="K256" s="38"/>
      <c r="L256" s="42"/>
      <c r="M256" s="43"/>
      <c r="N256" s="38"/>
      <c r="O256" s="38"/>
      <c r="P256" s="38"/>
    </row>
    <row r="257" spans="1:16" x14ac:dyDescent="0.25">
      <c r="A257" s="25"/>
      <c r="B257" s="38"/>
      <c r="C257" s="38"/>
      <c r="D257" s="38"/>
      <c r="E257" s="38"/>
      <c r="F257" s="38"/>
      <c r="G257" s="39"/>
      <c r="H257" s="45"/>
      <c r="I257" s="39"/>
      <c r="J257" s="39"/>
      <c r="K257" s="38"/>
      <c r="L257" s="42"/>
      <c r="M257" s="43"/>
      <c r="N257" s="38"/>
      <c r="O257" s="38"/>
      <c r="P257" s="38"/>
    </row>
    <row r="258" spans="1:16" x14ac:dyDescent="0.25">
      <c r="A258" s="25"/>
      <c r="B258" s="38"/>
      <c r="C258" s="38"/>
      <c r="D258" s="38"/>
      <c r="E258" s="38"/>
      <c r="F258" s="38"/>
      <c r="G258" s="39"/>
      <c r="H258" s="45"/>
      <c r="I258" s="39"/>
      <c r="J258" s="39"/>
      <c r="K258" s="38"/>
      <c r="L258" s="42"/>
      <c r="M258" s="43"/>
      <c r="N258" s="38"/>
      <c r="O258" s="38"/>
      <c r="P258" s="38"/>
    </row>
    <row r="259" spans="1:16" x14ac:dyDescent="0.25">
      <c r="A259" s="25"/>
      <c r="B259" s="38"/>
      <c r="C259" s="38"/>
      <c r="D259" s="38"/>
      <c r="E259" s="38"/>
      <c r="F259" s="38"/>
      <c r="G259" s="39"/>
      <c r="H259" s="45"/>
      <c r="I259" s="39"/>
      <c r="J259" s="39"/>
      <c r="K259" s="38"/>
      <c r="L259" s="42"/>
      <c r="M259" s="43"/>
      <c r="N259" s="38"/>
      <c r="O259" s="38"/>
      <c r="P259" s="38"/>
    </row>
    <row r="260" spans="1:16" x14ac:dyDescent="0.25">
      <c r="A260" s="25"/>
      <c r="B260" s="38"/>
      <c r="C260" s="38"/>
      <c r="D260" s="38"/>
      <c r="E260" s="38"/>
      <c r="F260" s="38"/>
      <c r="G260" s="39"/>
      <c r="H260" s="45"/>
      <c r="I260" s="39"/>
      <c r="J260" s="39"/>
      <c r="K260" s="38"/>
      <c r="L260" s="42"/>
      <c r="M260" s="43"/>
      <c r="N260" s="38"/>
      <c r="O260" s="38"/>
      <c r="P260" s="38"/>
    </row>
    <row r="261" spans="1:16" x14ac:dyDescent="0.25">
      <c r="A261" s="25"/>
      <c r="B261" s="38"/>
      <c r="C261" s="38"/>
      <c r="D261" s="38"/>
      <c r="E261" s="38"/>
      <c r="F261" s="38"/>
      <c r="G261" s="39"/>
      <c r="H261" s="45"/>
      <c r="I261" s="39"/>
      <c r="J261" s="39"/>
      <c r="K261" s="38"/>
      <c r="L261" s="42"/>
      <c r="M261" s="43"/>
      <c r="N261" s="38"/>
      <c r="O261" s="38"/>
      <c r="P261" s="38"/>
    </row>
    <row r="262" spans="1:16" x14ac:dyDescent="0.25">
      <c r="A262" s="25"/>
      <c r="B262" s="38"/>
      <c r="C262" s="38"/>
      <c r="D262" s="38"/>
      <c r="E262" s="38"/>
      <c r="F262" s="38"/>
      <c r="G262" s="39"/>
      <c r="H262" s="45"/>
      <c r="I262" s="39"/>
      <c r="J262" s="39"/>
      <c r="K262" s="38"/>
      <c r="L262" s="42"/>
      <c r="M262" s="43"/>
      <c r="N262" s="38"/>
      <c r="O262" s="38"/>
      <c r="P262" s="38"/>
    </row>
    <row r="263" spans="1:16" x14ac:dyDescent="0.25">
      <c r="A263" s="25"/>
      <c r="B263" s="38"/>
      <c r="C263" s="38"/>
      <c r="D263" s="38"/>
      <c r="E263" s="38"/>
      <c r="F263" s="38"/>
      <c r="G263" s="39"/>
      <c r="H263" s="45"/>
      <c r="I263" s="39"/>
      <c r="J263" s="39"/>
      <c r="K263" s="38"/>
      <c r="L263" s="42"/>
      <c r="M263" s="43"/>
      <c r="N263" s="38"/>
      <c r="O263" s="38"/>
      <c r="P263" s="38"/>
    </row>
    <row r="264" spans="1:16" x14ac:dyDescent="0.25">
      <c r="A264" s="25"/>
      <c r="B264" s="38"/>
      <c r="C264" s="38"/>
      <c r="D264" s="38"/>
      <c r="E264" s="38"/>
      <c r="F264" s="38"/>
      <c r="G264" s="39"/>
      <c r="H264" s="45"/>
      <c r="I264" s="39"/>
      <c r="J264" s="39"/>
      <c r="K264" s="38"/>
      <c r="L264" s="42"/>
      <c r="M264" s="43"/>
      <c r="N264" s="38"/>
      <c r="O264" s="38"/>
      <c r="P264" s="38"/>
    </row>
    <row r="265" spans="1:16" x14ac:dyDescent="0.25">
      <c r="A265" s="25"/>
      <c r="B265" s="38"/>
      <c r="C265" s="38"/>
      <c r="D265" s="38"/>
      <c r="E265" s="38"/>
      <c r="F265" s="38"/>
      <c r="G265" s="39"/>
      <c r="H265" s="45"/>
      <c r="I265" s="39"/>
      <c r="J265" s="39"/>
      <c r="K265" s="38"/>
      <c r="L265" s="42"/>
      <c r="M265" s="43"/>
      <c r="N265" s="38"/>
      <c r="O265" s="38"/>
      <c r="P265" s="38"/>
    </row>
    <row r="266" spans="1:16" x14ac:dyDescent="0.25">
      <c r="A266" s="25"/>
      <c r="B266" s="38"/>
      <c r="C266" s="38"/>
      <c r="D266" s="38"/>
      <c r="E266" s="38"/>
      <c r="F266" s="38"/>
      <c r="G266" s="39"/>
      <c r="H266" s="45"/>
      <c r="I266" s="39"/>
      <c r="J266" s="39"/>
      <c r="K266" s="38"/>
      <c r="L266" s="42"/>
      <c r="M266" s="43"/>
      <c r="N266" s="38"/>
      <c r="O266" s="38"/>
      <c r="P266" s="38"/>
    </row>
    <row r="267" spans="1:16" x14ac:dyDescent="0.25">
      <c r="A267" s="25"/>
      <c r="B267" s="38"/>
      <c r="C267" s="38"/>
      <c r="D267" s="38"/>
      <c r="E267" s="38"/>
      <c r="F267" s="38"/>
      <c r="G267" s="39"/>
      <c r="H267" s="45"/>
      <c r="I267" s="39"/>
      <c r="J267" s="39"/>
      <c r="K267" s="38"/>
      <c r="L267" s="42"/>
      <c r="M267" s="43"/>
      <c r="N267" s="38"/>
      <c r="O267" s="38"/>
      <c r="P267" s="38"/>
    </row>
    <row r="268" spans="1:16" x14ac:dyDescent="0.25">
      <c r="A268" s="25"/>
      <c r="B268" s="38"/>
      <c r="C268" s="38"/>
      <c r="D268" s="38"/>
      <c r="E268" s="38"/>
      <c r="F268" s="38"/>
      <c r="G268" s="39"/>
      <c r="H268" s="45"/>
      <c r="I268" s="39"/>
      <c r="J268" s="39"/>
      <c r="K268" s="38"/>
      <c r="L268" s="42"/>
      <c r="M268" s="43"/>
      <c r="N268" s="38"/>
      <c r="O268" s="38"/>
      <c r="P268" s="38"/>
    </row>
    <row r="269" spans="1:16" x14ac:dyDescent="0.25">
      <c r="A269" s="25"/>
      <c r="B269" s="38"/>
      <c r="C269" s="38"/>
      <c r="D269" s="38"/>
      <c r="E269" s="38"/>
      <c r="F269" s="38"/>
      <c r="G269" s="39"/>
      <c r="H269" s="45"/>
      <c r="I269" s="39"/>
      <c r="J269" s="39"/>
      <c r="K269" s="38"/>
      <c r="L269" s="42"/>
      <c r="M269" s="43"/>
      <c r="N269" s="38"/>
      <c r="O269" s="38"/>
      <c r="P269" s="38"/>
    </row>
    <row r="270" spans="1:16" x14ac:dyDescent="0.25">
      <c r="A270" s="25"/>
      <c r="B270" s="38"/>
      <c r="C270" s="38"/>
      <c r="D270" s="38"/>
      <c r="E270" s="38"/>
      <c r="F270" s="38"/>
      <c r="G270" s="39"/>
      <c r="H270" s="45"/>
      <c r="I270" s="39"/>
      <c r="J270" s="39"/>
      <c r="K270" s="38"/>
      <c r="L270" s="42"/>
      <c r="M270" s="43"/>
      <c r="N270" s="38"/>
      <c r="O270" s="38"/>
      <c r="P270" s="38"/>
    </row>
    <row r="271" spans="1:16" x14ac:dyDescent="0.25">
      <c r="A271" s="25"/>
      <c r="B271" s="38"/>
      <c r="C271" s="38"/>
      <c r="D271" s="38"/>
      <c r="E271" s="38"/>
      <c r="F271" s="38"/>
      <c r="G271" s="39"/>
      <c r="H271" s="45"/>
      <c r="I271" s="39"/>
      <c r="J271" s="39"/>
      <c r="K271" s="38"/>
      <c r="L271" s="42"/>
      <c r="M271" s="43"/>
      <c r="N271" s="38"/>
      <c r="O271" s="38"/>
      <c r="P271" s="38"/>
    </row>
    <row r="272" spans="1:16" x14ac:dyDescent="0.25">
      <c r="A272" s="25"/>
      <c r="B272" s="38"/>
      <c r="C272" s="38"/>
      <c r="D272" s="38"/>
      <c r="E272" s="38"/>
      <c r="F272" s="38"/>
      <c r="G272" s="39"/>
      <c r="H272" s="45"/>
      <c r="I272" s="39"/>
      <c r="J272" s="39"/>
      <c r="K272" s="38"/>
      <c r="L272" s="42"/>
      <c r="M272" s="43"/>
      <c r="N272" s="38"/>
      <c r="O272" s="38"/>
      <c r="P272" s="38"/>
    </row>
    <row r="273" spans="1:16" x14ac:dyDescent="0.25">
      <c r="A273" s="25"/>
      <c r="B273" s="38"/>
      <c r="C273" s="38"/>
      <c r="D273" s="38"/>
      <c r="E273" s="38"/>
      <c r="F273" s="38"/>
      <c r="G273" s="39"/>
      <c r="H273" s="45"/>
      <c r="I273" s="39"/>
      <c r="J273" s="39"/>
      <c r="K273" s="38"/>
      <c r="L273" s="42"/>
      <c r="M273" s="43"/>
      <c r="N273" s="38"/>
      <c r="O273" s="38"/>
      <c r="P273" s="38"/>
    </row>
    <row r="274" spans="1:16" x14ac:dyDescent="0.25">
      <c r="A274" s="25"/>
      <c r="B274" s="38"/>
      <c r="C274" s="38"/>
      <c r="D274" s="38"/>
      <c r="E274" s="38"/>
      <c r="F274" s="38"/>
      <c r="G274" s="39"/>
      <c r="H274" s="45"/>
      <c r="I274" s="39"/>
      <c r="J274" s="39"/>
      <c r="K274" s="38"/>
      <c r="L274" s="42"/>
      <c r="M274" s="43"/>
      <c r="N274" s="38"/>
      <c r="O274" s="38"/>
      <c r="P274" s="38"/>
    </row>
    <row r="275" spans="1:16" x14ac:dyDescent="0.25">
      <c r="A275" s="25"/>
      <c r="B275" s="38"/>
      <c r="C275" s="38"/>
      <c r="D275" s="38"/>
      <c r="E275" s="38"/>
      <c r="F275" s="38"/>
      <c r="G275" s="39"/>
      <c r="H275" s="45"/>
      <c r="I275" s="39"/>
      <c r="J275" s="39"/>
      <c r="K275" s="38"/>
      <c r="L275" s="42"/>
      <c r="M275" s="43"/>
      <c r="N275" s="38"/>
      <c r="O275" s="38"/>
      <c r="P275" s="38"/>
    </row>
    <row r="276" spans="1:16" x14ac:dyDescent="0.25">
      <c r="A276" s="25"/>
      <c r="B276" s="38"/>
      <c r="C276" s="38"/>
      <c r="D276" s="38"/>
      <c r="E276" s="38"/>
      <c r="F276" s="38"/>
      <c r="G276" s="39"/>
      <c r="H276" s="45"/>
      <c r="I276" s="39"/>
      <c r="J276" s="39"/>
      <c r="K276" s="38"/>
      <c r="L276" s="42"/>
      <c r="M276" s="43"/>
      <c r="N276" s="38"/>
      <c r="O276" s="38"/>
      <c r="P276" s="38"/>
    </row>
    <row r="277" spans="1:16" x14ac:dyDescent="0.25">
      <c r="A277" s="25"/>
      <c r="B277" s="38"/>
      <c r="C277" s="38"/>
      <c r="D277" s="38"/>
      <c r="E277" s="38"/>
      <c r="F277" s="38"/>
      <c r="G277" s="39"/>
      <c r="H277" s="45"/>
      <c r="I277" s="39"/>
      <c r="J277" s="39"/>
      <c r="K277" s="38"/>
      <c r="L277" s="42"/>
      <c r="M277" s="43"/>
      <c r="N277" s="38"/>
      <c r="O277" s="38"/>
      <c r="P277" s="38"/>
    </row>
    <row r="278" spans="1:16" x14ac:dyDescent="0.25">
      <c r="A278" s="25"/>
      <c r="B278" s="38"/>
      <c r="C278" s="38"/>
      <c r="D278" s="38"/>
      <c r="E278" s="38"/>
      <c r="F278" s="38"/>
      <c r="G278" s="39"/>
      <c r="H278" s="45"/>
      <c r="I278" s="39"/>
      <c r="J278" s="39"/>
      <c r="K278" s="38"/>
      <c r="L278" s="42"/>
      <c r="M278" s="43"/>
      <c r="N278" s="38"/>
      <c r="O278" s="38"/>
      <c r="P278" s="38"/>
    </row>
    <row r="279" spans="1:16" x14ac:dyDescent="0.25">
      <c r="A279" s="25"/>
      <c r="B279" s="38"/>
      <c r="C279" s="38"/>
      <c r="D279" s="38"/>
      <c r="E279" s="38"/>
      <c r="F279" s="38"/>
      <c r="G279" s="39"/>
      <c r="H279" s="45"/>
      <c r="I279" s="39"/>
      <c r="J279" s="39"/>
      <c r="K279" s="38"/>
      <c r="L279" s="42"/>
      <c r="M279" s="43"/>
      <c r="N279" s="38"/>
      <c r="O279" s="38"/>
      <c r="P279" s="38"/>
    </row>
    <row r="280" spans="1:16" x14ac:dyDescent="0.25">
      <c r="A280" s="25"/>
      <c r="B280" s="38"/>
      <c r="C280" s="38"/>
      <c r="D280" s="38"/>
      <c r="E280" s="38"/>
      <c r="F280" s="38"/>
      <c r="G280" s="39"/>
      <c r="H280" s="45"/>
      <c r="I280" s="39"/>
      <c r="J280" s="39"/>
      <c r="K280" s="38"/>
      <c r="L280" s="42"/>
      <c r="M280" s="43"/>
      <c r="N280" s="38"/>
      <c r="O280" s="38"/>
      <c r="P280" s="38"/>
    </row>
    <row r="281" spans="1:16" x14ac:dyDescent="0.25">
      <c r="A281" s="25"/>
      <c r="B281" s="38"/>
      <c r="C281" s="38"/>
      <c r="D281" s="38"/>
      <c r="E281" s="38"/>
      <c r="F281" s="38"/>
      <c r="G281" s="39"/>
      <c r="H281" s="45"/>
      <c r="I281" s="39"/>
      <c r="J281" s="39"/>
      <c r="K281" s="38"/>
      <c r="L281" s="42"/>
      <c r="M281" s="43"/>
      <c r="N281" s="38"/>
      <c r="O281" s="38"/>
      <c r="P281" s="38"/>
    </row>
    <row r="282" spans="1:16" x14ac:dyDescent="0.25">
      <c r="A282" s="25"/>
      <c r="B282" s="38"/>
      <c r="C282" s="38"/>
      <c r="D282" s="38"/>
      <c r="E282" s="38"/>
      <c r="F282" s="38"/>
      <c r="G282" s="39"/>
      <c r="H282" s="45"/>
      <c r="I282" s="39"/>
      <c r="J282" s="39"/>
      <c r="K282" s="38"/>
      <c r="L282" s="42"/>
      <c r="M282" s="43"/>
      <c r="N282" s="38"/>
      <c r="O282" s="38"/>
      <c r="P282" s="38"/>
    </row>
    <row r="283" spans="1:16" x14ac:dyDescent="0.25">
      <c r="A283" s="25"/>
      <c r="B283" s="38"/>
      <c r="C283" s="38"/>
      <c r="D283" s="38"/>
      <c r="E283" s="38"/>
      <c r="F283" s="38"/>
      <c r="G283" s="39"/>
      <c r="H283" s="45"/>
      <c r="I283" s="39"/>
      <c r="J283" s="39"/>
      <c r="K283" s="38"/>
      <c r="L283" s="42"/>
      <c r="M283" s="43"/>
      <c r="N283" s="38"/>
      <c r="O283" s="38"/>
      <c r="P283" s="38"/>
    </row>
    <row r="284" spans="1:16" x14ac:dyDescent="0.25">
      <c r="A284" s="25"/>
      <c r="B284" s="38"/>
      <c r="C284" s="38"/>
      <c r="D284" s="38"/>
      <c r="E284" s="38"/>
      <c r="F284" s="38"/>
      <c r="G284" s="39"/>
      <c r="H284" s="45"/>
      <c r="I284" s="39"/>
      <c r="J284" s="39"/>
      <c r="K284" s="38"/>
      <c r="L284" s="42"/>
      <c r="M284" s="43"/>
      <c r="N284" s="38"/>
      <c r="O284" s="38"/>
      <c r="P284" s="38"/>
    </row>
    <row r="285" spans="1:16" x14ac:dyDescent="0.25">
      <c r="A285" s="25"/>
      <c r="B285" s="38"/>
      <c r="C285" s="38"/>
      <c r="D285" s="38"/>
      <c r="E285" s="38"/>
      <c r="F285" s="38"/>
      <c r="G285" s="39"/>
      <c r="H285" s="45"/>
      <c r="I285" s="39"/>
      <c r="J285" s="39"/>
      <c r="K285" s="38"/>
      <c r="L285" s="42"/>
      <c r="M285" s="43"/>
      <c r="N285" s="38"/>
      <c r="O285" s="38"/>
      <c r="P285" s="38"/>
    </row>
    <row r="286" spans="1:16" x14ac:dyDescent="0.25">
      <c r="A286" s="25"/>
      <c r="B286" s="38"/>
      <c r="C286" s="38"/>
      <c r="D286" s="38"/>
      <c r="E286" s="38"/>
      <c r="F286" s="38"/>
      <c r="G286" s="39"/>
      <c r="H286" s="45"/>
      <c r="I286" s="39"/>
      <c r="J286" s="39"/>
      <c r="K286" s="38"/>
      <c r="L286" s="42"/>
      <c r="M286" s="43"/>
      <c r="N286" s="38"/>
      <c r="O286" s="38"/>
      <c r="P286" s="38"/>
    </row>
    <row r="287" spans="1:16" x14ac:dyDescent="0.25">
      <c r="A287" s="25"/>
      <c r="B287" s="38"/>
      <c r="C287" s="38"/>
      <c r="D287" s="38"/>
      <c r="E287" s="38"/>
      <c r="F287" s="38"/>
      <c r="G287" s="39"/>
      <c r="H287" s="45"/>
      <c r="I287" s="39"/>
      <c r="J287" s="39"/>
      <c r="K287" s="38"/>
      <c r="L287" s="42"/>
      <c r="M287" s="43"/>
      <c r="N287" s="38"/>
      <c r="O287" s="38"/>
      <c r="P287" s="38"/>
    </row>
    <row r="288" spans="1:16" x14ac:dyDescent="0.25">
      <c r="A288" s="25"/>
      <c r="B288" s="38"/>
      <c r="C288" s="38"/>
      <c r="D288" s="38"/>
      <c r="E288" s="38"/>
      <c r="F288" s="38"/>
      <c r="G288" s="39"/>
      <c r="H288" s="45"/>
      <c r="I288" s="39"/>
      <c r="J288" s="39"/>
      <c r="K288" s="38"/>
      <c r="L288" s="42"/>
      <c r="M288" s="43"/>
      <c r="N288" s="38"/>
      <c r="O288" s="38"/>
      <c r="P288" s="38"/>
    </row>
    <row r="289" spans="1:16" x14ac:dyDescent="0.25">
      <c r="A289" s="25"/>
      <c r="B289" s="38"/>
      <c r="C289" s="38"/>
      <c r="D289" s="38"/>
      <c r="E289" s="38"/>
      <c r="F289" s="38"/>
      <c r="G289" s="39"/>
      <c r="H289" s="45"/>
      <c r="I289" s="39"/>
      <c r="J289" s="39"/>
      <c r="K289" s="38"/>
      <c r="L289" s="42"/>
      <c r="M289" s="43"/>
      <c r="N289" s="38"/>
      <c r="O289" s="38"/>
      <c r="P289" s="38"/>
    </row>
    <row r="290" spans="1:16" x14ac:dyDescent="0.25">
      <c r="A290" s="25"/>
      <c r="B290" s="38"/>
      <c r="C290" s="38"/>
      <c r="D290" s="38"/>
      <c r="E290" s="38"/>
      <c r="F290" s="38"/>
      <c r="G290" s="39"/>
      <c r="H290" s="45"/>
      <c r="I290" s="39"/>
      <c r="J290" s="39"/>
      <c r="K290" s="38"/>
      <c r="L290" s="42"/>
      <c r="M290" s="43"/>
      <c r="N290" s="38"/>
      <c r="O290" s="38"/>
      <c r="P290" s="38"/>
    </row>
    <row r="291" spans="1:16" x14ac:dyDescent="0.25">
      <c r="A291" s="25"/>
      <c r="B291" s="38"/>
      <c r="C291" s="38"/>
      <c r="D291" s="38"/>
      <c r="E291" s="38"/>
      <c r="F291" s="38"/>
      <c r="G291" s="39"/>
      <c r="H291" s="45"/>
      <c r="I291" s="39"/>
      <c r="J291" s="39"/>
      <c r="K291" s="38"/>
      <c r="L291" s="42"/>
      <c r="M291" s="43"/>
      <c r="N291" s="38"/>
      <c r="O291" s="38"/>
      <c r="P291" s="38"/>
    </row>
    <row r="292" spans="1:16" x14ac:dyDescent="0.25">
      <c r="A292" s="25"/>
      <c r="B292" s="38"/>
      <c r="C292" s="38"/>
      <c r="D292" s="38"/>
      <c r="E292" s="38"/>
      <c r="F292" s="38"/>
      <c r="G292" s="39"/>
      <c r="H292" s="45"/>
      <c r="I292" s="39"/>
      <c r="J292" s="39"/>
      <c r="K292" s="38"/>
      <c r="L292" s="42"/>
      <c r="M292" s="43"/>
      <c r="N292" s="38"/>
      <c r="O292" s="38"/>
      <c r="P292" s="38"/>
    </row>
    <row r="293" spans="1:16" x14ac:dyDescent="0.25">
      <c r="A293" s="25"/>
      <c r="B293" s="38"/>
      <c r="C293" s="38"/>
      <c r="D293" s="38"/>
      <c r="E293" s="38"/>
      <c r="F293" s="38"/>
      <c r="G293" s="39"/>
      <c r="H293" s="45"/>
      <c r="I293" s="39"/>
      <c r="J293" s="39"/>
      <c r="K293" s="38"/>
      <c r="L293" s="42"/>
      <c r="M293" s="43"/>
      <c r="N293" s="38"/>
      <c r="O293" s="38"/>
      <c r="P293" s="38"/>
    </row>
    <row r="294" spans="1:16" x14ac:dyDescent="0.25">
      <c r="A294" s="25"/>
      <c r="B294" s="38"/>
      <c r="C294" s="38"/>
      <c r="D294" s="38"/>
      <c r="E294" s="38"/>
      <c r="F294" s="38"/>
      <c r="G294" s="39"/>
      <c r="H294" s="45"/>
      <c r="I294" s="39"/>
      <c r="J294" s="39"/>
      <c r="K294" s="38"/>
      <c r="L294" s="42"/>
      <c r="M294" s="43"/>
      <c r="N294" s="38"/>
      <c r="O294" s="38"/>
      <c r="P294" s="38"/>
    </row>
    <row r="295" spans="1:16" x14ac:dyDescent="0.25">
      <c r="A295" s="25"/>
      <c r="B295" s="38"/>
      <c r="C295" s="38"/>
      <c r="D295" s="38"/>
      <c r="E295" s="38"/>
      <c r="F295" s="38"/>
      <c r="G295" s="39"/>
      <c r="H295" s="45"/>
      <c r="I295" s="39"/>
      <c r="J295" s="39"/>
      <c r="K295" s="38"/>
      <c r="L295" s="42"/>
      <c r="M295" s="43"/>
      <c r="N295" s="38"/>
      <c r="O295" s="38"/>
      <c r="P295" s="38"/>
    </row>
    <row r="296" spans="1:16" x14ac:dyDescent="0.25">
      <c r="A296" s="25"/>
      <c r="B296" s="38"/>
      <c r="C296" s="38"/>
      <c r="D296" s="38"/>
      <c r="E296" s="38"/>
      <c r="F296" s="38"/>
      <c r="G296" s="39"/>
      <c r="H296" s="45"/>
      <c r="I296" s="39"/>
      <c r="J296" s="39"/>
      <c r="K296" s="38"/>
      <c r="L296" s="42"/>
      <c r="M296" s="43"/>
      <c r="N296" s="38"/>
      <c r="O296" s="38"/>
      <c r="P296" s="38"/>
    </row>
    <row r="297" spans="1:16" x14ac:dyDescent="0.25">
      <c r="A297" s="25"/>
      <c r="B297" s="38"/>
      <c r="C297" s="38"/>
      <c r="D297" s="38"/>
      <c r="E297" s="38"/>
      <c r="F297" s="38"/>
      <c r="G297" s="39"/>
      <c r="H297" s="45"/>
      <c r="I297" s="39"/>
      <c r="J297" s="39"/>
      <c r="K297" s="38"/>
      <c r="L297" s="42"/>
      <c r="M297" s="43"/>
      <c r="N297" s="38"/>
      <c r="O297" s="38"/>
      <c r="P297" s="38"/>
    </row>
    <row r="298" spans="1:16" x14ac:dyDescent="0.25">
      <c r="A298" s="25"/>
      <c r="B298" s="38"/>
      <c r="C298" s="38"/>
      <c r="D298" s="38"/>
      <c r="E298" s="38"/>
      <c r="F298" s="38"/>
      <c r="G298" s="39"/>
      <c r="H298" s="45"/>
      <c r="I298" s="39"/>
      <c r="J298" s="39"/>
      <c r="K298" s="38"/>
      <c r="L298" s="42"/>
      <c r="M298" s="43"/>
      <c r="N298" s="38"/>
      <c r="O298" s="38"/>
      <c r="P298" s="38"/>
    </row>
    <row r="299" spans="1:16" x14ac:dyDescent="0.25">
      <c r="A299" s="25"/>
      <c r="B299" s="38"/>
      <c r="C299" s="38"/>
      <c r="D299" s="38"/>
      <c r="E299" s="38"/>
      <c r="F299" s="38"/>
      <c r="G299" s="39"/>
      <c r="H299" s="45"/>
      <c r="I299" s="39"/>
      <c r="J299" s="39"/>
      <c r="K299" s="38"/>
      <c r="L299" s="42"/>
      <c r="M299" s="43"/>
      <c r="N299" s="38"/>
      <c r="O299" s="38"/>
      <c r="P299" s="38"/>
    </row>
    <row r="300" spans="1:16" x14ac:dyDescent="0.25">
      <c r="A300" s="25"/>
      <c r="B300" s="38"/>
      <c r="C300" s="38"/>
      <c r="D300" s="38"/>
      <c r="E300" s="38"/>
      <c r="F300" s="38"/>
      <c r="G300" s="39"/>
      <c r="H300" s="45"/>
      <c r="I300" s="39"/>
      <c r="J300" s="39"/>
      <c r="K300" s="38"/>
      <c r="L300" s="42"/>
      <c r="M300" s="43"/>
      <c r="N300" s="38"/>
      <c r="O300" s="38"/>
      <c r="P300" s="38"/>
    </row>
    <row r="301" spans="1:16" x14ac:dyDescent="0.25">
      <c r="A301" s="25"/>
      <c r="B301" s="38"/>
      <c r="C301" s="38"/>
      <c r="D301" s="38"/>
      <c r="E301" s="38"/>
      <c r="F301" s="38"/>
      <c r="G301" s="39"/>
      <c r="H301" s="45"/>
      <c r="I301" s="39"/>
      <c r="J301" s="39"/>
      <c r="K301" s="38"/>
      <c r="L301" s="42"/>
      <c r="M301" s="43"/>
      <c r="N301" s="38"/>
      <c r="O301" s="38"/>
      <c r="P301" s="38"/>
    </row>
    <row r="302" spans="1:16" x14ac:dyDescent="0.25">
      <c r="A302" s="25"/>
      <c r="B302" s="38"/>
      <c r="C302" s="38"/>
      <c r="D302" s="38"/>
      <c r="E302" s="38"/>
      <c r="F302" s="38"/>
      <c r="G302" s="39"/>
      <c r="H302" s="45"/>
      <c r="I302" s="39"/>
      <c r="J302" s="39"/>
      <c r="K302" s="38"/>
      <c r="L302" s="42"/>
      <c r="M302" s="43"/>
      <c r="N302" s="38"/>
      <c r="O302" s="38"/>
      <c r="P302" s="38"/>
    </row>
    <row r="303" spans="1:16" x14ac:dyDescent="0.25">
      <c r="A303" s="25"/>
      <c r="B303" s="38"/>
      <c r="C303" s="38"/>
      <c r="D303" s="38"/>
      <c r="E303" s="38"/>
      <c r="F303" s="38"/>
      <c r="G303" s="39"/>
      <c r="H303" s="45"/>
      <c r="I303" s="39"/>
      <c r="J303" s="39"/>
      <c r="K303" s="38"/>
      <c r="L303" s="42"/>
      <c r="M303" s="43"/>
      <c r="N303" s="38"/>
      <c r="O303" s="38"/>
      <c r="P303" s="38"/>
    </row>
    <row r="304" spans="1:16" x14ac:dyDescent="0.25">
      <c r="A304" s="25"/>
      <c r="B304" s="38"/>
      <c r="C304" s="38"/>
      <c r="D304" s="38"/>
      <c r="E304" s="38"/>
      <c r="F304" s="38"/>
      <c r="G304" s="39"/>
      <c r="H304" s="45"/>
      <c r="I304" s="39"/>
      <c r="J304" s="39"/>
      <c r="K304" s="38"/>
      <c r="L304" s="42"/>
      <c r="M304" s="43"/>
      <c r="N304" s="38"/>
      <c r="O304" s="38"/>
      <c r="P304" s="38"/>
    </row>
    <row r="305" spans="1:16" x14ac:dyDescent="0.25">
      <c r="A305" s="25"/>
      <c r="B305" s="38"/>
      <c r="C305" s="38"/>
      <c r="D305" s="38"/>
      <c r="E305" s="38"/>
      <c r="F305" s="38"/>
      <c r="G305" s="39"/>
      <c r="H305" s="45"/>
      <c r="I305" s="39"/>
      <c r="J305" s="39"/>
      <c r="K305" s="38"/>
      <c r="L305" s="42"/>
      <c r="M305" s="43"/>
      <c r="N305" s="38"/>
      <c r="O305" s="38"/>
      <c r="P305" s="38"/>
    </row>
    <row r="306" spans="1:16" x14ac:dyDescent="0.25">
      <c r="A306" s="25"/>
      <c r="B306" s="38"/>
      <c r="C306" s="38"/>
      <c r="D306" s="38"/>
      <c r="E306" s="38"/>
      <c r="F306" s="38"/>
      <c r="G306" s="39"/>
      <c r="H306" s="45"/>
      <c r="I306" s="39"/>
      <c r="J306" s="39"/>
      <c r="K306" s="38"/>
      <c r="L306" s="42"/>
      <c r="M306" s="43"/>
      <c r="N306" s="38"/>
      <c r="O306" s="38"/>
      <c r="P306" s="38"/>
    </row>
    <row r="307" spans="1:16" x14ac:dyDescent="0.25">
      <c r="A307" s="25"/>
      <c r="B307" s="38"/>
      <c r="C307" s="38"/>
      <c r="D307" s="38"/>
      <c r="E307" s="38"/>
      <c r="F307" s="38"/>
      <c r="G307" s="39"/>
      <c r="H307" s="45"/>
      <c r="I307" s="39"/>
      <c r="J307" s="39"/>
      <c r="K307" s="38"/>
      <c r="L307" s="42"/>
      <c r="M307" s="43"/>
      <c r="N307" s="38"/>
      <c r="O307" s="38"/>
      <c r="P307" s="38"/>
    </row>
    <row r="308" spans="1:16" x14ac:dyDescent="0.25">
      <c r="A308" s="25"/>
      <c r="B308" s="38"/>
      <c r="C308" s="38"/>
      <c r="D308" s="38"/>
      <c r="E308" s="38"/>
      <c r="F308" s="38"/>
      <c r="G308" s="39"/>
      <c r="H308" s="45"/>
      <c r="I308" s="39"/>
      <c r="J308" s="39"/>
      <c r="K308" s="38"/>
      <c r="L308" s="42"/>
      <c r="M308" s="43"/>
      <c r="N308" s="38"/>
      <c r="O308" s="38"/>
      <c r="P308" s="38"/>
    </row>
    <row r="309" spans="1:16" x14ac:dyDescent="0.25">
      <c r="A309" s="25"/>
      <c r="B309" s="38"/>
      <c r="C309" s="38"/>
      <c r="D309" s="38"/>
      <c r="E309" s="38"/>
      <c r="F309" s="38"/>
      <c r="G309" s="39"/>
      <c r="H309" s="45"/>
      <c r="I309" s="39"/>
      <c r="J309" s="39"/>
      <c r="K309" s="38"/>
      <c r="L309" s="42"/>
      <c r="M309" s="43"/>
      <c r="N309" s="38"/>
      <c r="O309" s="38"/>
      <c r="P309" s="38"/>
    </row>
    <row r="310" spans="1:16" x14ac:dyDescent="0.25">
      <c r="A310" s="25"/>
      <c r="B310" s="38"/>
      <c r="C310" s="38"/>
      <c r="D310" s="38"/>
      <c r="E310" s="38"/>
      <c r="F310" s="38"/>
      <c r="G310" s="39"/>
      <c r="H310" s="45"/>
      <c r="I310" s="39"/>
      <c r="J310" s="39"/>
      <c r="K310" s="38"/>
      <c r="L310" s="42"/>
      <c r="M310" s="43"/>
      <c r="N310" s="38"/>
      <c r="O310" s="38"/>
      <c r="P310" s="38"/>
    </row>
    <row r="311" spans="1:16" x14ac:dyDescent="0.25">
      <c r="A311" s="25"/>
      <c r="B311" s="38"/>
      <c r="C311" s="38"/>
      <c r="D311" s="38"/>
      <c r="E311" s="38"/>
      <c r="F311" s="38"/>
      <c r="G311" s="39"/>
      <c r="H311" s="45"/>
      <c r="I311" s="39"/>
      <c r="J311" s="39"/>
      <c r="K311" s="38"/>
      <c r="L311" s="42"/>
      <c r="M311" s="43"/>
      <c r="N311" s="38"/>
      <c r="O311" s="38"/>
      <c r="P311" s="38"/>
    </row>
    <row r="312" spans="1:16" x14ac:dyDescent="0.25">
      <c r="A312" s="25"/>
      <c r="B312" s="38"/>
      <c r="C312" s="38"/>
      <c r="D312" s="38"/>
      <c r="E312" s="38"/>
      <c r="F312" s="38"/>
      <c r="G312" s="39"/>
      <c r="H312" s="45"/>
      <c r="I312" s="39"/>
      <c r="J312" s="39"/>
      <c r="K312" s="38"/>
      <c r="L312" s="42"/>
      <c r="M312" s="43"/>
      <c r="N312" s="38"/>
      <c r="O312" s="38"/>
      <c r="P312" s="38"/>
    </row>
    <row r="313" spans="1:16" x14ac:dyDescent="0.25">
      <c r="A313" s="25"/>
      <c r="B313" s="38"/>
      <c r="C313" s="38"/>
      <c r="D313" s="38"/>
      <c r="E313" s="38"/>
      <c r="F313" s="38"/>
      <c r="G313" s="39"/>
      <c r="H313" s="45"/>
      <c r="I313" s="39"/>
      <c r="J313" s="39"/>
      <c r="K313" s="38"/>
      <c r="L313" s="42"/>
      <c r="M313" s="43"/>
      <c r="N313" s="38"/>
      <c r="O313" s="38"/>
      <c r="P313" s="38"/>
    </row>
    <row r="314" spans="1:16" x14ac:dyDescent="0.25">
      <c r="A314" s="25"/>
      <c r="B314" s="38"/>
      <c r="C314" s="38"/>
      <c r="D314" s="38"/>
      <c r="E314" s="38"/>
      <c r="F314" s="38"/>
      <c r="G314" s="39"/>
      <c r="H314" s="45"/>
      <c r="I314" s="39"/>
      <c r="J314" s="39"/>
      <c r="K314" s="38"/>
      <c r="L314" s="42"/>
      <c r="M314" s="43"/>
      <c r="N314" s="38"/>
      <c r="O314" s="38"/>
      <c r="P314" s="38"/>
    </row>
    <row r="315" spans="1:16" x14ac:dyDescent="0.25">
      <c r="A315" s="25"/>
      <c r="B315" s="38"/>
      <c r="C315" s="38"/>
      <c r="D315" s="38"/>
      <c r="E315" s="38"/>
      <c r="F315" s="38"/>
      <c r="G315" s="39"/>
      <c r="H315" s="45"/>
      <c r="I315" s="39"/>
      <c r="J315" s="39"/>
      <c r="K315" s="38"/>
      <c r="L315" s="42"/>
      <c r="M315" s="43"/>
      <c r="N315" s="38"/>
      <c r="O315" s="38"/>
      <c r="P315" s="38"/>
    </row>
    <row r="316" spans="1:16" x14ac:dyDescent="0.25">
      <c r="A316" s="25"/>
      <c r="B316" s="38"/>
      <c r="C316" s="38"/>
      <c r="D316" s="38"/>
      <c r="E316" s="38"/>
      <c r="F316" s="38"/>
      <c r="G316" s="39"/>
      <c r="H316" s="45"/>
      <c r="I316" s="39"/>
      <c r="J316" s="39"/>
      <c r="K316" s="38"/>
      <c r="L316" s="42"/>
      <c r="M316" s="43"/>
      <c r="N316" s="38"/>
      <c r="O316" s="38"/>
      <c r="P316" s="38"/>
    </row>
    <row r="317" spans="1:16" x14ac:dyDescent="0.25">
      <c r="A317" s="25"/>
      <c r="B317" s="38"/>
      <c r="C317" s="38"/>
      <c r="D317" s="38"/>
      <c r="E317" s="38"/>
      <c r="F317" s="38"/>
      <c r="G317" s="39"/>
      <c r="H317" s="45"/>
      <c r="I317" s="39"/>
      <c r="J317" s="39"/>
      <c r="K317" s="38"/>
      <c r="L317" s="42"/>
      <c r="M317" s="43"/>
      <c r="N317" s="38"/>
      <c r="O317" s="38"/>
      <c r="P317" s="38"/>
    </row>
    <row r="318" spans="1:16" x14ac:dyDescent="0.25">
      <c r="A318" s="25"/>
      <c r="B318" s="38"/>
      <c r="C318" s="38"/>
      <c r="D318" s="38"/>
      <c r="E318" s="38"/>
      <c r="F318" s="38"/>
      <c r="G318" s="39"/>
      <c r="H318" s="45"/>
      <c r="I318" s="39"/>
      <c r="J318" s="39"/>
      <c r="K318" s="38"/>
      <c r="L318" s="42"/>
      <c r="M318" s="43"/>
      <c r="N318" s="38"/>
      <c r="O318" s="38"/>
      <c r="P318" s="38"/>
    </row>
    <row r="319" spans="1:16" x14ac:dyDescent="0.25">
      <c r="A319" s="25"/>
      <c r="B319" s="38"/>
      <c r="C319" s="38"/>
      <c r="D319" s="38"/>
      <c r="E319" s="38"/>
      <c r="F319" s="38"/>
      <c r="G319" s="39"/>
      <c r="H319" s="45"/>
      <c r="I319" s="39"/>
      <c r="J319" s="39"/>
      <c r="K319" s="38"/>
      <c r="L319" s="42"/>
      <c r="M319" s="43"/>
      <c r="N319" s="38"/>
      <c r="O319" s="38"/>
      <c r="P319" s="38"/>
    </row>
    <row r="320" spans="1:16" x14ac:dyDescent="0.25">
      <c r="A320" s="25"/>
      <c r="B320" s="38"/>
      <c r="C320" s="38"/>
      <c r="D320" s="38"/>
      <c r="E320" s="38"/>
      <c r="F320" s="38"/>
      <c r="G320" s="39"/>
      <c r="H320" s="45"/>
      <c r="I320" s="39"/>
      <c r="J320" s="39"/>
      <c r="K320" s="38"/>
      <c r="L320" s="42"/>
      <c r="M320" s="43"/>
      <c r="N320" s="38"/>
      <c r="O320" s="38"/>
      <c r="P320" s="38"/>
    </row>
    <row r="321" spans="1:16" x14ac:dyDescent="0.25">
      <c r="A321" s="25"/>
      <c r="B321" s="38"/>
      <c r="C321" s="38"/>
      <c r="D321" s="38"/>
      <c r="E321" s="38"/>
      <c r="F321" s="38"/>
      <c r="G321" s="39"/>
      <c r="H321" s="45"/>
      <c r="I321" s="39"/>
      <c r="J321" s="39"/>
      <c r="K321" s="38"/>
      <c r="L321" s="42"/>
      <c r="M321" s="43"/>
      <c r="N321" s="38"/>
      <c r="O321" s="38"/>
      <c r="P321" s="38"/>
    </row>
    <row r="322" spans="1:16" x14ac:dyDescent="0.25">
      <c r="A322" s="25"/>
      <c r="B322" s="38"/>
      <c r="C322" s="38"/>
      <c r="D322" s="38"/>
      <c r="E322" s="38"/>
      <c r="F322" s="38"/>
      <c r="G322" s="39"/>
      <c r="H322" s="45"/>
      <c r="I322" s="39"/>
      <c r="J322" s="39"/>
      <c r="K322" s="38"/>
      <c r="L322" s="42"/>
      <c r="M322" s="43"/>
      <c r="N322" s="38"/>
      <c r="O322" s="38"/>
      <c r="P322" s="38"/>
    </row>
    <row r="323" spans="1:16" x14ac:dyDescent="0.25">
      <c r="A323" s="25"/>
      <c r="B323" s="38"/>
      <c r="C323" s="38"/>
      <c r="D323" s="38"/>
      <c r="E323" s="38"/>
      <c r="F323" s="38"/>
      <c r="G323" s="39"/>
      <c r="H323" s="45"/>
      <c r="I323" s="39"/>
      <c r="J323" s="39"/>
      <c r="K323" s="38"/>
      <c r="L323" s="42"/>
      <c r="M323" s="43"/>
      <c r="N323" s="38"/>
      <c r="O323" s="38"/>
      <c r="P323" s="38"/>
    </row>
    <row r="324" spans="1:16" x14ac:dyDescent="0.25">
      <c r="A324" s="25"/>
      <c r="B324" s="38"/>
      <c r="C324" s="38"/>
      <c r="D324" s="38"/>
      <c r="E324" s="38"/>
      <c r="F324" s="38"/>
      <c r="G324" s="39"/>
      <c r="H324" s="45"/>
      <c r="I324" s="39"/>
      <c r="J324" s="39"/>
      <c r="K324" s="38"/>
      <c r="L324" s="42"/>
      <c r="M324" s="43"/>
      <c r="N324" s="38"/>
      <c r="O324" s="38"/>
      <c r="P324" s="38"/>
    </row>
    <row r="325" spans="1:16" x14ac:dyDescent="0.25">
      <c r="A325" s="25"/>
      <c r="B325" s="38"/>
      <c r="C325" s="38"/>
      <c r="D325" s="38"/>
      <c r="E325" s="38"/>
      <c r="F325" s="38"/>
      <c r="G325" s="39"/>
      <c r="H325" s="45"/>
      <c r="I325" s="39"/>
      <c r="J325" s="39"/>
      <c r="K325" s="38"/>
      <c r="L325" s="42"/>
      <c r="M325" s="43"/>
      <c r="N325" s="38"/>
      <c r="O325" s="38"/>
      <c r="P325" s="38"/>
    </row>
    <row r="326" spans="1:16" x14ac:dyDescent="0.25">
      <c r="A326" s="25"/>
      <c r="B326" s="38"/>
      <c r="C326" s="38"/>
      <c r="D326" s="38"/>
      <c r="E326" s="38"/>
      <c r="F326" s="38"/>
      <c r="G326" s="39"/>
      <c r="H326" s="45"/>
      <c r="I326" s="39"/>
      <c r="J326" s="39"/>
      <c r="K326" s="38"/>
      <c r="L326" s="42"/>
      <c r="M326" s="43"/>
      <c r="N326" s="38"/>
      <c r="O326" s="38"/>
      <c r="P326" s="38"/>
    </row>
    <row r="327" spans="1:16" x14ac:dyDescent="0.25">
      <c r="A327" s="25"/>
      <c r="B327" s="38"/>
      <c r="C327" s="38"/>
      <c r="D327" s="38"/>
      <c r="E327" s="38"/>
      <c r="F327" s="38"/>
      <c r="G327" s="39"/>
      <c r="H327" s="45"/>
      <c r="I327" s="39"/>
      <c r="J327" s="39"/>
      <c r="K327" s="38"/>
      <c r="L327" s="42"/>
      <c r="M327" s="43"/>
      <c r="N327" s="38"/>
      <c r="O327" s="38"/>
      <c r="P327" s="38"/>
    </row>
    <row r="328" spans="1:16" x14ac:dyDescent="0.25">
      <c r="A328" s="25"/>
      <c r="B328" s="38"/>
      <c r="C328" s="38"/>
      <c r="D328" s="38"/>
      <c r="E328" s="38"/>
      <c r="F328" s="38"/>
      <c r="G328" s="39"/>
      <c r="H328" s="45"/>
      <c r="I328" s="39"/>
      <c r="J328" s="39"/>
      <c r="K328" s="38"/>
      <c r="L328" s="42"/>
      <c r="M328" s="43"/>
      <c r="N328" s="38"/>
      <c r="O328" s="38"/>
      <c r="P328" s="38"/>
    </row>
    <row r="329" spans="1:16" x14ac:dyDescent="0.25">
      <c r="A329" s="25"/>
      <c r="B329" s="38"/>
      <c r="C329" s="38"/>
      <c r="D329" s="38"/>
      <c r="E329" s="38"/>
      <c r="F329" s="38"/>
      <c r="G329" s="39"/>
      <c r="H329" s="45"/>
      <c r="I329" s="39"/>
      <c r="J329" s="39"/>
      <c r="K329" s="38"/>
      <c r="L329" s="42"/>
      <c r="M329" s="43"/>
      <c r="N329" s="38"/>
      <c r="O329" s="38"/>
      <c r="P329" s="38"/>
    </row>
    <row r="330" spans="1:16" x14ac:dyDescent="0.25">
      <c r="A330" s="25"/>
      <c r="B330" s="38"/>
      <c r="C330" s="38"/>
      <c r="D330" s="38"/>
      <c r="E330" s="38"/>
      <c r="F330" s="38"/>
      <c r="G330" s="39"/>
      <c r="H330" s="45"/>
      <c r="I330" s="39"/>
      <c r="J330" s="39"/>
      <c r="K330" s="38"/>
      <c r="L330" s="42"/>
      <c r="M330" s="43"/>
      <c r="N330" s="38"/>
      <c r="O330" s="38"/>
      <c r="P330" s="38"/>
    </row>
    <row r="331" spans="1:16" x14ac:dyDescent="0.25">
      <c r="A331" s="25"/>
      <c r="B331" s="38"/>
      <c r="C331" s="38"/>
      <c r="D331" s="38"/>
      <c r="E331" s="38"/>
      <c r="F331" s="38"/>
      <c r="G331" s="39"/>
      <c r="H331" s="45"/>
      <c r="I331" s="39"/>
      <c r="J331" s="39"/>
      <c r="K331" s="38"/>
      <c r="L331" s="42"/>
      <c r="M331" s="43"/>
      <c r="N331" s="38"/>
      <c r="O331" s="38"/>
      <c r="P331" s="38"/>
    </row>
    <row r="332" spans="1:16" x14ac:dyDescent="0.25">
      <c r="A332" s="25"/>
      <c r="B332" s="38"/>
      <c r="C332" s="38"/>
      <c r="D332" s="38"/>
      <c r="E332" s="38"/>
      <c r="F332" s="38"/>
      <c r="G332" s="39"/>
      <c r="H332" s="45"/>
      <c r="I332" s="39"/>
      <c r="J332" s="39"/>
      <c r="K332" s="38"/>
      <c r="L332" s="42"/>
      <c r="M332" s="43"/>
      <c r="N332" s="38"/>
      <c r="O332" s="38"/>
      <c r="P332" s="38"/>
    </row>
    <row r="333" spans="1:16" x14ac:dyDescent="0.25">
      <c r="A333" s="25"/>
      <c r="B333" s="38"/>
      <c r="C333" s="38"/>
      <c r="D333" s="38"/>
      <c r="E333" s="38"/>
      <c r="F333" s="38"/>
      <c r="G333" s="39"/>
      <c r="H333" s="45"/>
      <c r="I333" s="39"/>
      <c r="J333" s="39"/>
      <c r="K333" s="38"/>
      <c r="L333" s="42"/>
      <c r="M333" s="43"/>
      <c r="N333" s="38"/>
      <c r="O333" s="38"/>
      <c r="P333" s="38"/>
    </row>
    <row r="334" spans="1:16" x14ac:dyDescent="0.25">
      <c r="A334" s="25"/>
      <c r="B334" s="38"/>
      <c r="C334" s="38"/>
      <c r="D334" s="38"/>
      <c r="E334" s="38"/>
      <c r="F334" s="38"/>
      <c r="G334" s="39"/>
      <c r="H334" s="45"/>
      <c r="I334" s="39"/>
      <c r="J334" s="39"/>
      <c r="K334" s="38"/>
      <c r="L334" s="42"/>
      <c r="M334" s="43"/>
      <c r="N334" s="38"/>
      <c r="O334" s="38"/>
      <c r="P334" s="38"/>
    </row>
    <row r="335" spans="1:16" x14ac:dyDescent="0.25">
      <c r="A335" s="25"/>
      <c r="B335" s="38"/>
      <c r="C335" s="38"/>
      <c r="D335" s="38"/>
      <c r="E335" s="38"/>
      <c r="F335" s="38"/>
      <c r="G335" s="39"/>
      <c r="H335" s="45"/>
      <c r="I335" s="39"/>
      <c r="J335" s="39"/>
      <c r="K335" s="38"/>
      <c r="L335" s="42"/>
      <c r="M335" s="43"/>
      <c r="N335" s="38"/>
      <c r="O335" s="38"/>
      <c r="P335" s="38"/>
    </row>
    <row r="336" spans="1:16" x14ac:dyDescent="0.25">
      <c r="A336" s="25"/>
      <c r="B336" s="38"/>
      <c r="C336" s="38"/>
      <c r="D336" s="38"/>
      <c r="E336" s="38"/>
      <c r="F336" s="38"/>
      <c r="G336" s="39"/>
      <c r="H336" s="45"/>
      <c r="I336" s="39"/>
      <c r="J336" s="39"/>
      <c r="K336" s="38"/>
      <c r="L336" s="42"/>
      <c r="M336" s="43"/>
      <c r="N336" s="38"/>
      <c r="O336" s="38"/>
      <c r="P336" s="38"/>
    </row>
    <row r="337" spans="1:16" x14ac:dyDescent="0.25">
      <c r="A337" s="25"/>
      <c r="B337" s="38"/>
      <c r="C337" s="38"/>
      <c r="D337" s="38"/>
      <c r="E337" s="38"/>
      <c r="F337" s="38"/>
      <c r="G337" s="39"/>
      <c r="H337" s="45"/>
      <c r="I337" s="39"/>
      <c r="J337" s="39"/>
      <c r="K337" s="38"/>
      <c r="L337" s="42"/>
      <c r="M337" s="43"/>
      <c r="N337" s="38"/>
      <c r="O337" s="38"/>
      <c r="P337" s="38"/>
    </row>
    <row r="338" spans="1:16" x14ac:dyDescent="0.25">
      <c r="A338" s="25"/>
      <c r="B338" s="38"/>
      <c r="C338" s="38"/>
      <c r="D338" s="38"/>
      <c r="E338" s="38"/>
      <c r="F338" s="38"/>
      <c r="G338" s="39"/>
      <c r="H338" s="45"/>
      <c r="I338" s="39"/>
      <c r="J338" s="39"/>
      <c r="K338" s="38"/>
      <c r="L338" s="42"/>
      <c r="M338" s="43"/>
      <c r="N338" s="38"/>
      <c r="O338" s="38"/>
      <c r="P338" s="38"/>
    </row>
    <row r="339" spans="1:16" x14ac:dyDescent="0.25">
      <c r="A339" s="25"/>
      <c r="B339" s="38"/>
      <c r="C339" s="38"/>
      <c r="D339" s="38"/>
      <c r="E339" s="38"/>
      <c r="F339" s="38"/>
      <c r="G339" s="39"/>
      <c r="H339" s="45"/>
      <c r="I339" s="39"/>
      <c r="J339" s="39"/>
      <c r="K339" s="38"/>
      <c r="L339" s="42"/>
      <c r="M339" s="43"/>
      <c r="N339" s="38"/>
      <c r="O339" s="38"/>
      <c r="P339" s="38"/>
    </row>
    <row r="340" spans="1:16" x14ac:dyDescent="0.25">
      <c r="A340" s="25"/>
      <c r="B340" s="38"/>
      <c r="C340" s="38"/>
      <c r="D340" s="38"/>
      <c r="E340" s="38"/>
      <c r="F340" s="38"/>
      <c r="G340" s="39"/>
      <c r="H340" s="45"/>
      <c r="I340" s="39"/>
      <c r="J340" s="39"/>
      <c r="K340" s="38"/>
      <c r="L340" s="42"/>
      <c r="M340" s="43"/>
      <c r="N340" s="38"/>
      <c r="O340" s="38"/>
      <c r="P340" s="38"/>
    </row>
    <row r="341" spans="1:16" x14ac:dyDescent="0.25">
      <c r="A341" s="25"/>
      <c r="B341" s="38"/>
      <c r="C341" s="38"/>
      <c r="D341" s="38"/>
      <c r="E341" s="38"/>
      <c r="F341" s="38"/>
      <c r="G341" s="39"/>
      <c r="H341" s="45"/>
      <c r="I341" s="39"/>
      <c r="J341" s="39"/>
      <c r="K341" s="38"/>
      <c r="L341" s="42"/>
      <c r="M341" s="43"/>
      <c r="N341" s="38"/>
      <c r="O341" s="38"/>
      <c r="P341" s="38"/>
    </row>
    <row r="342" spans="1:16" x14ac:dyDescent="0.25">
      <c r="A342" s="25"/>
      <c r="B342" s="38"/>
      <c r="C342" s="38"/>
      <c r="D342" s="38"/>
      <c r="E342" s="38"/>
      <c r="F342" s="38"/>
      <c r="G342" s="39"/>
      <c r="H342" s="45"/>
      <c r="I342" s="39"/>
      <c r="J342" s="39"/>
      <c r="K342" s="38"/>
      <c r="L342" s="42"/>
      <c r="M342" s="43"/>
      <c r="N342" s="38"/>
      <c r="O342" s="38"/>
      <c r="P342" s="38"/>
    </row>
    <row r="343" spans="1:16" x14ac:dyDescent="0.25">
      <c r="A343" s="25"/>
      <c r="B343" s="38"/>
      <c r="C343" s="38"/>
      <c r="D343" s="38"/>
      <c r="E343" s="38"/>
      <c r="F343" s="38"/>
      <c r="G343" s="39"/>
      <c r="H343" s="45"/>
      <c r="I343" s="39"/>
      <c r="J343" s="39"/>
      <c r="K343" s="38"/>
      <c r="L343" s="42"/>
      <c r="M343" s="43"/>
      <c r="N343" s="38"/>
      <c r="O343" s="38"/>
      <c r="P343" s="38"/>
    </row>
    <row r="344" spans="1:16" x14ac:dyDescent="0.25">
      <c r="A344" s="25"/>
      <c r="B344" s="38"/>
      <c r="C344" s="38"/>
      <c r="D344" s="38"/>
      <c r="E344" s="38"/>
      <c r="F344" s="38"/>
      <c r="G344" s="39"/>
      <c r="H344" s="45"/>
      <c r="I344" s="39"/>
      <c r="J344" s="39"/>
      <c r="K344" s="38"/>
      <c r="L344" s="42"/>
      <c r="M344" s="43"/>
      <c r="N344" s="38"/>
      <c r="O344" s="38"/>
      <c r="P344" s="38"/>
    </row>
    <row r="345" spans="1:16" x14ac:dyDescent="0.25">
      <c r="A345" s="25"/>
      <c r="B345" s="38"/>
      <c r="C345" s="38"/>
      <c r="D345" s="38"/>
      <c r="E345" s="38"/>
      <c r="F345" s="38"/>
      <c r="G345" s="39"/>
      <c r="H345" s="45"/>
      <c r="I345" s="39"/>
      <c r="J345" s="39"/>
      <c r="K345" s="38"/>
      <c r="L345" s="42"/>
      <c r="M345" s="43"/>
      <c r="N345" s="38"/>
      <c r="O345" s="38"/>
      <c r="P345" s="38"/>
    </row>
    <row r="346" spans="1:16" x14ac:dyDescent="0.25">
      <c r="A346" s="25"/>
      <c r="B346" s="38"/>
      <c r="C346" s="38"/>
      <c r="D346" s="38"/>
      <c r="E346" s="38"/>
      <c r="F346" s="38"/>
      <c r="G346" s="39"/>
      <c r="H346" s="45"/>
      <c r="I346" s="39"/>
      <c r="J346" s="39"/>
      <c r="K346" s="38"/>
      <c r="L346" s="42"/>
      <c r="M346" s="43"/>
      <c r="N346" s="38"/>
      <c r="O346" s="38"/>
      <c r="P346" s="38"/>
    </row>
    <row r="347" spans="1:16" x14ac:dyDescent="0.25">
      <c r="A347" s="25"/>
      <c r="B347" s="38"/>
      <c r="C347" s="38"/>
      <c r="D347" s="38"/>
      <c r="E347" s="38"/>
      <c r="F347" s="38"/>
      <c r="G347" s="39"/>
      <c r="H347" s="45"/>
      <c r="I347" s="39"/>
      <c r="J347" s="39"/>
      <c r="K347" s="38"/>
      <c r="L347" s="42"/>
      <c r="M347" s="43"/>
      <c r="N347" s="38"/>
      <c r="O347" s="38"/>
      <c r="P347" s="38"/>
    </row>
    <row r="348" spans="1:16" x14ac:dyDescent="0.25">
      <c r="A348" s="25"/>
      <c r="B348" s="38"/>
      <c r="C348" s="38"/>
      <c r="D348" s="38"/>
      <c r="E348" s="38"/>
      <c r="F348" s="38"/>
      <c r="G348" s="39"/>
      <c r="H348" s="45"/>
      <c r="I348" s="39"/>
      <c r="J348" s="39"/>
      <c r="K348" s="38"/>
      <c r="L348" s="42"/>
      <c r="M348" s="43"/>
      <c r="N348" s="38"/>
      <c r="O348" s="38"/>
      <c r="P348" s="38"/>
    </row>
    <row r="349" spans="1:16" x14ac:dyDescent="0.25">
      <c r="A349" s="25"/>
      <c r="B349" s="38"/>
      <c r="C349" s="38"/>
      <c r="D349" s="38"/>
      <c r="E349" s="38"/>
      <c r="F349" s="38"/>
      <c r="G349" s="39"/>
      <c r="H349" s="45"/>
      <c r="I349" s="39"/>
      <c r="J349" s="39"/>
      <c r="K349" s="38"/>
      <c r="L349" s="42"/>
      <c r="M349" s="43"/>
      <c r="N349" s="38"/>
      <c r="O349" s="38"/>
      <c r="P349" s="38"/>
    </row>
    <row r="350" spans="1:16" x14ac:dyDescent="0.25">
      <c r="A350" s="25"/>
      <c r="B350" s="38"/>
      <c r="C350" s="38"/>
      <c r="D350" s="38"/>
      <c r="E350" s="38"/>
      <c r="F350" s="38"/>
      <c r="G350" s="39"/>
      <c r="H350" s="45"/>
      <c r="I350" s="39"/>
      <c r="J350" s="39"/>
      <c r="K350" s="38"/>
      <c r="L350" s="42"/>
      <c r="M350" s="43"/>
      <c r="N350" s="38"/>
      <c r="O350" s="38"/>
      <c r="P350" s="38"/>
    </row>
    <row r="351" spans="1:16" x14ac:dyDescent="0.25">
      <c r="A351" s="25"/>
      <c r="B351" s="38"/>
      <c r="C351" s="38"/>
      <c r="D351" s="38"/>
      <c r="E351" s="38"/>
      <c r="F351" s="38"/>
      <c r="G351" s="39"/>
      <c r="H351" s="45"/>
      <c r="I351" s="39"/>
      <c r="J351" s="39"/>
      <c r="K351" s="38"/>
      <c r="L351" s="42"/>
      <c r="M351" s="43"/>
      <c r="N351" s="38"/>
      <c r="O351" s="38"/>
      <c r="P351" s="38"/>
    </row>
    <row r="352" spans="1:16" x14ac:dyDescent="0.25">
      <c r="A352" s="25"/>
      <c r="B352" s="38"/>
      <c r="C352" s="38"/>
      <c r="D352" s="38"/>
      <c r="E352" s="38"/>
      <c r="F352" s="38"/>
      <c r="G352" s="39"/>
      <c r="H352" s="45"/>
      <c r="I352" s="39"/>
      <c r="J352" s="39"/>
      <c r="K352" s="38"/>
      <c r="L352" s="42"/>
      <c r="M352" s="43"/>
      <c r="N352" s="38"/>
      <c r="O352" s="38"/>
      <c r="P352" s="38"/>
    </row>
    <row r="353" spans="1:16" x14ac:dyDescent="0.25">
      <c r="A353" s="25"/>
      <c r="B353" s="38"/>
      <c r="C353" s="38"/>
      <c r="D353" s="38"/>
      <c r="E353" s="38"/>
      <c r="F353" s="38"/>
      <c r="G353" s="39"/>
      <c r="H353" s="45"/>
      <c r="I353" s="39"/>
      <c r="J353" s="39"/>
      <c r="K353" s="38"/>
      <c r="L353" s="42"/>
      <c r="M353" s="43"/>
      <c r="N353" s="38"/>
      <c r="O353" s="38"/>
      <c r="P353" s="38"/>
    </row>
    <row r="354" spans="1:16" x14ac:dyDescent="0.25">
      <c r="A354" s="25"/>
      <c r="B354" s="38"/>
      <c r="C354" s="38"/>
      <c r="D354" s="38"/>
      <c r="E354" s="38"/>
      <c r="F354" s="38"/>
      <c r="G354" s="39"/>
      <c r="H354" s="45"/>
      <c r="I354" s="39"/>
      <c r="J354" s="39"/>
      <c r="K354" s="38"/>
      <c r="L354" s="42"/>
      <c r="M354" s="43"/>
      <c r="N354" s="38"/>
      <c r="O354" s="38"/>
      <c r="P354" s="38"/>
    </row>
    <row r="355" spans="1:16" x14ac:dyDescent="0.25">
      <c r="A355" s="25"/>
      <c r="B355" s="38"/>
      <c r="C355" s="38"/>
      <c r="D355" s="38"/>
      <c r="E355" s="38"/>
      <c r="F355" s="38"/>
      <c r="G355" s="39"/>
      <c r="H355" s="45"/>
      <c r="I355" s="39"/>
      <c r="J355" s="39"/>
      <c r="K355" s="38"/>
      <c r="L355" s="42"/>
      <c r="M355" s="43"/>
      <c r="N355" s="38"/>
      <c r="O355" s="38"/>
      <c r="P355" s="38"/>
    </row>
    <row r="356" spans="1:16" x14ac:dyDescent="0.25">
      <c r="A356" s="25"/>
      <c r="B356" s="38"/>
      <c r="C356" s="38"/>
      <c r="D356" s="38"/>
      <c r="E356" s="38"/>
      <c r="F356" s="38"/>
      <c r="G356" s="39"/>
      <c r="H356" s="45"/>
      <c r="I356" s="39"/>
      <c r="J356" s="39"/>
      <c r="K356" s="38"/>
      <c r="L356" s="42"/>
      <c r="M356" s="43"/>
      <c r="N356" s="38"/>
      <c r="O356" s="38"/>
      <c r="P356" s="38"/>
    </row>
    <row r="357" spans="1:16" x14ac:dyDescent="0.25">
      <c r="A357" s="25"/>
      <c r="B357" s="38"/>
      <c r="C357" s="38"/>
      <c r="D357" s="38"/>
      <c r="E357" s="38"/>
      <c r="F357" s="38"/>
      <c r="G357" s="39"/>
      <c r="H357" s="45"/>
      <c r="I357" s="39"/>
      <c r="J357" s="39"/>
      <c r="K357" s="38"/>
      <c r="L357" s="42"/>
      <c r="M357" s="43"/>
      <c r="N357" s="38"/>
      <c r="O357" s="38"/>
      <c r="P357" s="38"/>
    </row>
    <row r="358" spans="1:16" x14ac:dyDescent="0.25">
      <c r="A358" s="25"/>
      <c r="B358" s="38"/>
      <c r="C358" s="38"/>
      <c r="D358" s="38"/>
      <c r="E358" s="38"/>
      <c r="F358" s="38"/>
      <c r="G358" s="39"/>
      <c r="H358" s="45"/>
      <c r="I358" s="39"/>
      <c r="J358" s="39"/>
      <c r="K358" s="38"/>
      <c r="L358" s="42"/>
      <c r="M358" s="43"/>
      <c r="N358" s="38"/>
      <c r="O358" s="38"/>
      <c r="P358" s="38"/>
    </row>
    <row r="359" spans="1:16" x14ac:dyDescent="0.25">
      <c r="A359" s="25"/>
      <c r="B359" s="38"/>
      <c r="C359" s="38"/>
      <c r="D359" s="38"/>
      <c r="E359" s="38"/>
      <c r="F359" s="38"/>
      <c r="G359" s="39"/>
      <c r="H359" s="45"/>
      <c r="I359" s="39"/>
      <c r="J359" s="39"/>
      <c r="K359" s="38"/>
      <c r="L359" s="42"/>
      <c r="M359" s="43"/>
      <c r="N359" s="38"/>
      <c r="O359" s="38"/>
      <c r="P359" s="38"/>
    </row>
    <row r="360" spans="1:16" x14ac:dyDescent="0.25">
      <c r="A360" s="25"/>
      <c r="B360" s="38"/>
      <c r="C360" s="38"/>
      <c r="D360" s="38"/>
      <c r="E360" s="38"/>
      <c r="F360" s="38"/>
      <c r="G360" s="39"/>
      <c r="H360" s="45"/>
      <c r="I360" s="39"/>
      <c r="J360" s="39"/>
      <c r="K360" s="38"/>
      <c r="L360" s="42"/>
      <c r="M360" s="43"/>
      <c r="N360" s="38"/>
      <c r="O360" s="38"/>
      <c r="P360" s="38"/>
    </row>
    <row r="361" spans="1:16" x14ac:dyDescent="0.25">
      <c r="A361" s="25"/>
      <c r="B361" s="38"/>
      <c r="C361" s="38"/>
      <c r="D361" s="38"/>
      <c r="E361" s="38"/>
      <c r="F361" s="38"/>
      <c r="G361" s="39"/>
      <c r="H361" s="45"/>
      <c r="I361" s="39"/>
      <c r="J361" s="39"/>
      <c r="K361" s="38"/>
      <c r="L361" s="42"/>
      <c r="M361" s="43"/>
      <c r="N361" s="38"/>
      <c r="O361" s="38"/>
      <c r="P361" s="38"/>
    </row>
    <row r="362" spans="1:16" x14ac:dyDescent="0.25">
      <c r="A362" s="25"/>
      <c r="B362" s="38"/>
      <c r="C362" s="38"/>
      <c r="D362" s="38"/>
      <c r="E362" s="38"/>
      <c r="F362" s="38"/>
      <c r="G362" s="39"/>
      <c r="H362" s="45"/>
      <c r="I362" s="39"/>
      <c r="J362" s="39"/>
      <c r="K362" s="38"/>
      <c r="L362" s="42"/>
      <c r="M362" s="43"/>
      <c r="N362" s="38"/>
      <c r="O362" s="38"/>
      <c r="P362" s="38"/>
    </row>
    <row r="363" spans="1:16" x14ac:dyDescent="0.25">
      <c r="A363" s="25"/>
      <c r="B363" s="38"/>
      <c r="C363" s="38"/>
      <c r="D363" s="38"/>
      <c r="E363" s="38"/>
      <c r="F363" s="38"/>
      <c r="G363" s="39"/>
      <c r="H363" s="45"/>
      <c r="I363" s="39"/>
      <c r="J363" s="39"/>
      <c r="K363" s="38"/>
      <c r="L363" s="42"/>
      <c r="M363" s="43"/>
      <c r="N363" s="38"/>
      <c r="O363" s="38"/>
      <c r="P363" s="38"/>
    </row>
    <row r="364" spans="1:16" x14ac:dyDescent="0.25">
      <c r="A364" s="25"/>
      <c r="B364" s="38"/>
      <c r="C364" s="38"/>
      <c r="D364" s="38"/>
      <c r="E364" s="38"/>
      <c r="F364" s="38"/>
      <c r="G364" s="39"/>
      <c r="H364" s="45"/>
      <c r="I364" s="39"/>
      <c r="J364" s="39"/>
      <c r="K364" s="38"/>
      <c r="L364" s="42"/>
      <c r="M364" s="43"/>
      <c r="N364" s="38"/>
      <c r="O364" s="38"/>
      <c r="P364" s="38"/>
    </row>
    <row r="365" spans="1:16" x14ac:dyDescent="0.25">
      <c r="A365" s="25"/>
      <c r="B365" s="38"/>
      <c r="C365" s="38"/>
      <c r="D365" s="38"/>
      <c r="E365" s="38"/>
      <c r="F365" s="38"/>
      <c r="G365" s="39"/>
      <c r="H365" s="45"/>
      <c r="I365" s="39"/>
      <c r="J365" s="39"/>
      <c r="K365" s="38"/>
      <c r="L365" s="42"/>
      <c r="M365" s="43"/>
      <c r="N365" s="38"/>
      <c r="O365" s="38"/>
      <c r="P365" s="38"/>
    </row>
    <row r="366" spans="1:16" x14ac:dyDescent="0.25">
      <c r="A366" s="25"/>
      <c r="B366" s="38"/>
      <c r="C366" s="38"/>
      <c r="D366" s="38"/>
      <c r="E366" s="38"/>
      <c r="F366" s="38"/>
      <c r="G366" s="39"/>
      <c r="H366" s="45"/>
      <c r="I366" s="39"/>
      <c r="J366" s="39"/>
      <c r="K366" s="38"/>
      <c r="L366" s="42"/>
      <c r="M366" s="43"/>
      <c r="N366" s="38"/>
      <c r="O366" s="38"/>
      <c r="P366" s="38"/>
    </row>
    <row r="367" spans="1:16" x14ac:dyDescent="0.25">
      <c r="A367" s="25"/>
      <c r="B367" s="38"/>
      <c r="C367" s="38"/>
      <c r="D367" s="38"/>
      <c r="E367" s="38"/>
      <c r="F367" s="38"/>
      <c r="G367" s="39"/>
      <c r="H367" s="45"/>
      <c r="I367" s="39"/>
      <c r="J367" s="39"/>
      <c r="K367" s="38"/>
      <c r="L367" s="42"/>
      <c r="M367" s="43"/>
      <c r="N367" s="38"/>
      <c r="O367" s="38"/>
      <c r="P367" s="38"/>
    </row>
    <row r="368" spans="1:16" x14ac:dyDescent="0.25">
      <c r="A368" s="25"/>
      <c r="B368" s="38"/>
      <c r="C368" s="38"/>
      <c r="D368" s="38"/>
      <c r="E368" s="38"/>
      <c r="F368" s="38"/>
      <c r="G368" s="39"/>
      <c r="H368" s="45"/>
      <c r="I368" s="39"/>
      <c r="J368" s="39"/>
      <c r="K368" s="38"/>
      <c r="L368" s="42"/>
      <c r="M368" s="43"/>
      <c r="N368" s="38"/>
      <c r="O368" s="38"/>
      <c r="P368" s="38"/>
    </row>
    <row r="369" spans="1:16" x14ac:dyDescent="0.25">
      <c r="A369" s="25"/>
      <c r="B369" s="38"/>
      <c r="C369" s="38"/>
      <c r="D369" s="38"/>
      <c r="E369" s="38"/>
      <c r="F369" s="38"/>
      <c r="G369" s="39"/>
      <c r="H369" s="45"/>
      <c r="I369" s="39"/>
      <c r="J369" s="39"/>
      <c r="K369" s="38"/>
      <c r="L369" s="42"/>
      <c r="M369" s="43"/>
      <c r="N369" s="38"/>
      <c r="O369" s="38"/>
      <c r="P369" s="38"/>
    </row>
    <row r="370" spans="1:16" x14ac:dyDescent="0.25">
      <c r="A370" s="25"/>
      <c r="B370" s="38"/>
      <c r="C370" s="38"/>
      <c r="D370" s="38"/>
      <c r="E370" s="38"/>
      <c r="F370" s="38"/>
      <c r="G370" s="39"/>
      <c r="H370" s="45"/>
      <c r="I370" s="39"/>
      <c r="J370" s="39"/>
      <c r="K370" s="38"/>
      <c r="L370" s="42"/>
      <c r="M370" s="43"/>
      <c r="N370" s="38"/>
      <c r="O370" s="38"/>
      <c r="P370" s="38"/>
    </row>
    <row r="371" spans="1:16" x14ac:dyDescent="0.25">
      <c r="A371" s="25"/>
      <c r="B371" s="38"/>
      <c r="C371" s="38"/>
      <c r="D371" s="38"/>
      <c r="E371" s="38"/>
      <c r="F371" s="38"/>
      <c r="G371" s="39"/>
      <c r="H371" s="45"/>
      <c r="I371" s="39"/>
      <c r="J371" s="39"/>
      <c r="K371" s="38"/>
      <c r="L371" s="42"/>
      <c r="M371" s="43"/>
      <c r="N371" s="38"/>
      <c r="O371" s="38"/>
      <c r="P371" s="38"/>
    </row>
    <row r="372" spans="1:16" x14ac:dyDescent="0.25">
      <c r="A372" s="25"/>
      <c r="B372" s="38"/>
      <c r="C372" s="38"/>
      <c r="D372" s="38"/>
      <c r="E372" s="38"/>
      <c r="F372" s="38"/>
      <c r="G372" s="39"/>
      <c r="H372" s="45"/>
      <c r="I372" s="39"/>
      <c r="J372" s="39"/>
      <c r="K372" s="38"/>
      <c r="L372" s="42"/>
      <c r="M372" s="43"/>
      <c r="N372" s="38"/>
      <c r="O372" s="38"/>
      <c r="P372" s="38"/>
    </row>
    <row r="373" spans="1:16" x14ac:dyDescent="0.25">
      <c r="A373" s="25"/>
      <c r="B373" s="38"/>
      <c r="C373" s="38"/>
      <c r="D373" s="38"/>
      <c r="E373" s="38"/>
      <c r="F373" s="38"/>
      <c r="G373" s="39"/>
      <c r="H373" s="45"/>
      <c r="I373" s="39"/>
      <c r="J373" s="39"/>
      <c r="K373" s="38"/>
      <c r="L373" s="42"/>
      <c r="M373" s="43"/>
      <c r="N373" s="38"/>
      <c r="O373" s="38"/>
      <c r="P373" s="38"/>
    </row>
    <row r="374" spans="1:16" x14ac:dyDescent="0.25">
      <c r="A374" s="25"/>
      <c r="B374" s="38"/>
      <c r="C374" s="38"/>
      <c r="D374" s="38"/>
      <c r="E374" s="38"/>
      <c r="F374" s="38"/>
      <c r="G374" s="39"/>
      <c r="H374" s="45"/>
      <c r="I374" s="39"/>
      <c r="J374" s="39"/>
      <c r="K374" s="38"/>
      <c r="L374" s="42"/>
      <c r="M374" s="43"/>
      <c r="N374" s="38"/>
      <c r="O374" s="38"/>
      <c r="P374" s="38"/>
    </row>
    <row r="375" spans="1:16" x14ac:dyDescent="0.25">
      <c r="A375" s="25"/>
      <c r="B375" s="38"/>
      <c r="C375" s="38"/>
      <c r="D375" s="38"/>
      <c r="E375" s="38"/>
      <c r="F375" s="38"/>
      <c r="G375" s="39"/>
      <c r="H375" s="45"/>
      <c r="I375" s="39"/>
      <c r="J375" s="39"/>
      <c r="K375" s="38"/>
      <c r="L375" s="42"/>
      <c r="M375" s="43"/>
      <c r="N375" s="38"/>
      <c r="O375" s="38"/>
      <c r="P375" s="38"/>
    </row>
    <row r="376" spans="1:16" x14ac:dyDescent="0.25">
      <c r="A376" s="25"/>
      <c r="B376" s="38"/>
      <c r="C376" s="38"/>
      <c r="D376" s="38"/>
      <c r="E376" s="38"/>
      <c r="F376" s="38"/>
      <c r="G376" s="39"/>
      <c r="H376" s="45"/>
      <c r="I376" s="39"/>
      <c r="J376" s="39"/>
      <c r="K376" s="38"/>
      <c r="L376" s="42"/>
      <c r="M376" s="43"/>
      <c r="N376" s="38"/>
      <c r="O376" s="38"/>
      <c r="P376" s="38"/>
    </row>
    <row r="377" spans="1:16" x14ac:dyDescent="0.25">
      <c r="A377" s="25"/>
      <c r="B377" s="38"/>
      <c r="C377" s="38"/>
      <c r="D377" s="38"/>
      <c r="E377" s="38"/>
      <c r="F377" s="38"/>
      <c r="G377" s="39"/>
      <c r="H377" s="45"/>
      <c r="I377" s="39"/>
      <c r="J377" s="39"/>
      <c r="K377" s="38"/>
      <c r="L377" s="42"/>
      <c r="M377" s="43"/>
      <c r="N377" s="38"/>
      <c r="O377" s="38"/>
      <c r="P377" s="38"/>
    </row>
    <row r="378" spans="1:16" x14ac:dyDescent="0.25">
      <c r="A378" s="25"/>
      <c r="B378" s="38"/>
      <c r="C378" s="38"/>
      <c r="D378" s="38"/>
      <c r="E378" s="38"/>
      <c r="F378" s="38"/>
      <c r="G378" s="39"/>
      <c r="H378" s="45"/>
      <c r="I378" s="39"/>
      <c r="J378" s="39"/>
      <c r="K378" s="38"/>
      <c r="L378" s="42"/>
      <c r="M378" s="43"/>
      <c r="N378" s="38"/>
      <c r="O378" s="38"/>
      <c r="P378" s="38"/>
    </row>
    <row r="379" spans="1:16" x14ac:dyDescent="0.25">
      <c r="A379" s="25"/>
      <c r="B379" s="38"/>
      <c r="C379" s="38"/>
      <c r="D379" s="38"/>
      <c r="E379" s="38"/>
      <c r="F379" s="38"/>
      <c r="G379" s="39"/>
      <c r="H379" s="45"/>
      <c r="I379" s="39"/>
      <c r="J379" s="39"/>
      <c r="K379" s="38"/>
      <c r="L379" s="42"/>
      <c r="M379" s="43"/>
      <c r="N379" s="38"/>
      <c r="O379" s="38"/>
      <c r="P379" s="38"/>
    </row>
    <row r="380" spans="1:16" x14ac:dyDescent="0.25">
      <c r="A380" s="25"/>
      <c r="B380" s="38"/>
      <c r="C380" s="38"/>
      <c r="D380" s="38"/>
      <c r="E380" s="38"/>
      <c r="F380" s="38"/>
      <c r="G380" s="39"/>
      <c r="H380" s="45"/>
      <c r="I380" s="39"/>
      <c r="J380" s="39"/>
      <c r="K380" s="38"/>
      <c r="L380" s="42"/>
      <c r="M380" s="43"/>
      <c r="N380" s="38"/>
      <c r="O380" s="38"/>
      <c r="P380" s="38"/>
    </row>
    <row r="381" spans="1:16" x14ac:dyDescent="0.25">
      <c r="A381" s="25"/>
      <c r="B381" s="38"/>
      <c r="C381" s="38"/>
      <c r="D381" s="38"/>
      <c r="E381" s="38"/>
      <c r="F381" s="38"/>
      <c r="G381" s="39"/>
      <c r="H381" s="45"/>
      <c r="I381" s="39"/>
      <c r="J381" s="39"/>
      <c r="K381" s="38"/>
      <c r="L381" s="42"/>
      <c r="M381" s="43"/>
      <c r="N381" s="38"/>
      <c r="O381" s="38"/>
      <c r="P381" s="38"/>
    </row>
    <row r="382" spans="1:16" x14ac:dyDescent="0.25">
      <c r="A382" s="25"/>
      <c r="B382" s="38"/>
      <c r="C382" s="38"/>
      <c r="D382" s="38"/>
      <c r="E382" s="38"/>
      <c r="F382" s="38"/>
      <c r="G382" s="39"/>
      <c r="H382" s="45"/>
      <c r="I382" s="39"/>
      <c r="J382" s="39"/>
      <c r="K382" s="38"/>
      <c r="L382" s="42"/>
      <c r="M382" s="43"/>
      <c r="N382" s="38"/>
      <c r="O382" s="38"/>
      <c r="P382" s="38"/>
    </row>
    <row r="383" spans="1:16" x14ac:dyDescent="0.25">
      <c r="A383" s="25"/>
      <c r="B383" s="38"/>
      <c r="C383" s="38"/>
      <c r="D383" s="38"/>
      <c r="E383" s="38"/>
      <c r="F383" s="38"/>
      <c r="G383" s="39"/>
      <c r="H383" s="45"/>
      <c r="I383" s="39"/>
      <c r="J383" s="39"/>
      <c r="K383" s="38"/>
      <c r="L383" s="42"/>
      <c r="M383" s="43"/>
      <c r="N383" s="38"/>
      <c r="O383" s="38"/>
      <c r="P383" s="38"/>
    </row>
    <row r="384" spans="1:16" x14ac:dyDescent="0.25">
      <c r="A384" s="25"/>
      <c r="B384" s="38"/>
      <c r="C384" s="38"/>
      <c r="D384" s="38"/>
      <c r="E384" s="38"/>
      <c r="F384" s="38"/>
      <c r="G384" s="39"/>
      <c r="H384" s="45"/>
      <c r="I384" s="39"/>
      <c r="J384" s="39"/>
      <c r="K384" s="38"/>
      <c r="L384" s="42"/>
      <c r="M384" s="43"/>
      <c r="N384" s="38"/>
      <c r="O384" s="38"/>
      <c r="P384" s="38"/>
    </row>
    <row r="385" spans="1:16" x14ac:dyDescent="0.25">
      <c r="A385" s="25"/>
      <c r="B385" s="38"/>
      <c r="C385" s="38"/>
      <c r="D385" s="38"/>
      <c r="E385" s="38"/>
      <c r="F385" s="38"/>
      <c r="G385" s="39"/>
      <c r="H385" s="45"/>
      <c r="I385" s="39"/>
      <c r="J385" s="39"/>
      <c r="K385" s="38"/>
      <c r="L385" s="42"/>
      <c r="M385" s="43"/>
      <c r="N385" s="38"/>
      <c r="O385" s="38"/>
      <c r="P385" s="38"/>
    </row>
    <row r="386" spans="1:16" x14ac:dyDescent="0.25">
      <c r="A386" s="25"/>
      <c r="B386" s="38"/>
      <c r="C386" s="38"/>
      <c r="D386" s="38"/>
      <c r="E386" s="38"/>
      <c r="F386" s="38"/>
      <c r="G386" s="39"/>
      <c r="H386" s="45"/>
      <c r="I386" s="39"/>
      <c r="J386" s="39"/>
      <c r="K386" s="38"/>
      <c r="L386" s="42"/>
      <c r="M386" s="43"/>
      <c r="N386" s="38"/>
      <c r="O386" s="38"/>
      <c r="P386" s="38"/>
    </row>
    <row r="387" spans="1:16" x14ac:dyDescent="0.25">
      <c r="A387" s="25"/>
      <c r="B387" s="38"/>
      <c r="C387" s="38"/>
      <c r="D387" s="38"/>
      <c r="E387" s="38"/>
      <c r="F387" s="38"/>
      <c r="G387" s="39"/>
      <c r="H387" s="45"/>
      <c r="I387" s="39"/>
      <c r="J387" s="39"/>
      <c r="K387" s="38"/>
      <c r="L387" s="42"/>
      <c r="M387" s="43"/>
      <c r="N387" s="38"/>
      <c r="O387" s="38"/>
      <c r="P387" s="38"/>
    </row>
    <row r="388" spans="1:16" x14ac:dyDescent="0.25">
      <c r="A388" s="25"/>
      <c r="B388" s="38"/>
      <c r="C388" s="38"/>
      <c r="D388" s="38"/>
      <c r="E388" s="38"/>
      <c r="F388" s="38"/>
      <c r="G388" s="39"/>
      <c r="H388" s="45"/>
      <c r="I388" s="39"/>
      <c r="J388" s="39"/>
      <c r="K388" s="38"/>
      <c r="L388" s="42"/>
      <c r="M388" s="43"/>
      <c r="N388" s="38"/>
      <c r="O388" s="38"/>
      <c r="P388" s="38"/>
    </row>
    <row r="389" spans="1:16" x14ac:dyDescent="0.25">
      <c r="A389" s="25"/>
      <c r="B389" s="38"/>
      <c r="C389" s="38"/>
      <c r="D389" s="38"/>
      <c r="E389" s="38"/>
      <c r="F389" s="38"/>
      <c r="G389" s="39"/>
      <c r="H389" s="45"/>
      <c r="I389" s="39"/>
      <c r="J389" s="39"/>
      <c r="K389" s="38"/>
      <c r="L389" s="42"/>
      <c r="M389" s="43"/>
      <c r="N389" s="38"/>
      <c r="O389" s="38"/>
      <c r="P389" s="38"/>
    </row>
    <row r="390" spans="1:16" x14ac:dyDescent="0.25">
      <c r="A390" s="25"/>
      <c r="B390" s="38"/>
      <c r="C390" s="38"/>
      <c r="D390" s="38"/>
      <c r="E390" s="38"/>
      <c r="F390" s="38"/>
      <c r="G390" s="39"/>
      <c r="H390" s="45"/>
      <c r="I390" s="39"/>
      <c r="J390" s="39"/>
      <c r="K390" s="38"/>
      <c r="L390" s="42"/>
      <c r="M390" s="43"/>
      <c r="N390" s="38"/>
      <c r="O390" s="38"/>
      <c r="P390" s="38"/>
    </row>
    <row r="391" spans="1:16" x14ac:dyDescent="0.25">
      <c r="A391" s="25"/>
      <c r="B391" s="38"/>
      <c r="C391" s="38"/>
      <c r="D391" s="38"/>
      <c r="E391" s="38"/>
      <c r="F391" s="38"/>
      <c r="G391" s="39"/>
      <c r="H391" s="45"/>
      <c r="I391" s="39"/>
      <c r="J391" s="39"/>
      <c r="K391" s="38"/>
      <c r="L391" s="42"/>
      <c r="M391" s="43"/>
      <c r="N391" s="38"/>
      <c r="O391" s="38"/>
      <c r="P391" s="38"/>
    </row>
    <row r="392" spans="1:16" x14ac:dyDescent="0.25">
      <c r="A392" s="25"/>
      <c r="B392" s="38"/>
      <c r="C392" s="38"/>
      <c r="D392" s="38"/>
      <c r="E392" s="38"/>
      <c r="F392" s="38"/>
      <c r="G392" s="39"/>
      <c r="H392" s="45"/>
      <c r="I392" s="39"/>
      <c r="J392" s="39"/>
      <c r="K392" s="38"/>
      <c r="L392" s="42"/>
      <c r="M392" s="43"/>
      <c r="N392" s="38"/>
      <c r="O392" s="38"/>
      <c r="P392" s="38"/>
    </row>
    <row r="393" spans="1:16" x14ac:dyDescent="0.25">
      <c r="A393" s="25"/>
      <c r="B393" s="38"/>
      <c r="C393" s="38"/>
      <c r="D393" s="38"/>
      <c r="E393" s="38"/>
      <c r="F393" s="38"/>
      <c r="G393" s="39"/>
      <c r="H393" s="45"/>
      <c r="I393" s="39"/>
      <c r="J393" s="39"/>
      <c r="K393" s="38"/>
      <c r="L393" s="42"/>
      <c r="M393" s="43"/>
      <c r="N393" s="38"/>
      <c r="O393" s="38"/>
      <c r="P393" s="38"/>
    </row>
    <row r="394" spans="1:16" x14ac:dyDescent="0.25">
      <c r="A394" s="25"/>
      <c r="B394" s="38"/>
      <c r="C394" s="38"/>
      <c r="D394" s="38"/>
      <c r="E394" s="38"/>
      <c r="F394" s="38"/>
      <c r="G394" s="39"/>
      <c r="H394" s="45"/>
      <c r="I394" s="39"/>
      <c r="J394" s="39"/>
      <c r="K394" s="38"/>
      <c r="L394" s="42"/>
      <c r="M394" s="43"/>
      <c r="N394" s="38"/>
      <c r="O394" s="38"/>
      <c r="P394" s="38"/>
    </row>
    <row r="395" spans="1:16" x14ac:dyDescent="0.25">
      <c r="A395" s="25"/>
      <c r="B395" s="38"/>
      <c r="C395" s="38"/>
      <c r="D395" s="38"/>
      <c r="E395" s="38"/>
      <c r="F395" s="38"/>
      <c r="G395" s="39"/>
      <c r="H395" s="45"/>
      <c r="I395" s="39"/>
      <c r="J395" s="39"/>
      <c r="K395" s="38"/>
      <c r="L395" s="42"/>
      <c r="M395" s="43"/>
      <c r="N395" s="38"/>
      <c r="O395" s="38"/>
      <c r="P395" s="38"/>
    </row>
    <row r="396" spans="1:16" x14ac:dyDescent="0.25">
      <c r="A396" s="25"/>
      <c r="B396" s="38"/>
      <c r="C396" s="38"/>
      <c r="D396" s="38"/>
      <c r="E396" s="38"/>
      <c r="F396" s="38"/>
      <c r="G396" s="39"/>
      <c r="H396" s="45"/>
      <c r="I396" s="39"/>
      <c r="J396" s="39"/>
      <c r="K396" s="38"/>
      <c r="L396" s="42"/>
      <c r="M396" s="43"/>
      <c r="N396" s="38"/>
      <c r="O396" s="38"/>
      <c r="P396" s="38"/>
    </row>
    <row r="397" spans="1:16" x14ac:dyDescent="0.25">
      <c r="A397" s="25"/>
      <c r="B397" s="38"/>
      <c r="C397" s="38"/>
      <c r="D397" s="38"/>
      <c r="E397" s="38"/>
      <c r="F397" s="38"/>
      <c r="G397" s="39"/>
      <c r="H397" s="45"/>
      <c r="I397" s="39"/>
      <c r="J397" s="39"/>
      <c r="K397" s="38"/>
      <c r="L397" s="42"/>
      <c r="M397" s="43"/>
      <c r="N397" s="38"/>
      <c r="O397" s="38"/>
      <c r="P397" s="38"/>
    </row>
    <row r="398" spans="1:16" x14ac:dyDescent="0.25">
      <c r="A398" s="25"/>
      <c r="B398" s="38"/>
      <c r="C398" s="38"/>
      <c r="D398" s="38"/>
      <c r="E398" s="38"/>
      <c r="F398" s="38"/>
      <c r="G398" s="39"/>
      <c r="H398" s="45"/>
      <c r="I398" s="39"/>
      <c r="J398" s="39"/>
      <c r="K398" s="38"/>
      <c r="L398" s="42"/>
      <c r="M398" s="43"/>
      <c r="N398" s="38"/>
      <c r="O398" s="38"/>
      <c r="P398" s="38"/>
    </row>
    <row r="399" spans="1:16" x14ac:dyDescent="0.25">
      <c r="A399" s="25"/>
      <c r="B399" s="38"/>
      <c r="C399" s="38"/>
      <c r="D399" s="38"/>
      <c r="E399" s="38"/>
      <c r="F399" s="38"/>
      <c r="G399" s="39"/>
      <c r="H399" s="45"/>
      <c r="I399" s="39"/>
      <c r="J399" s="39"/>
      <c r="K399" s="38"/>
      <c r="L399" s="42"/>
      <c r="M399" s="43"/>
      <c r="N399" s="38"/>
      <c r="O399" s="38"/>
      <c r="P399" s="38"/>
    </row>
    <row r="400" spans="1:16" x14ac:dyDescent="0.25">
      <c r="A400" s="25"/>
      <c r="B400" s="38"/>
      <c r="C400" s="38"/>
      <c r="D400" s="38"/>
      <c r="E400" s="38"/>
      <c r="F400" s="38"/>
      <c r="G400" s="39"/>
      <c r="H400" s="45"/>
      <c r="I400" s="39"/>
      <c r="J400" s="39"/>
      <c r="K400" s="38"/>
      <c r="L400" s="42"/>
      <c r="M400" s="43"/>
      <c r="N400" s="38"/>
      <c r="O400" s="38"/>
      <c r="P400" s="38"/>
    </row>
    <row r="401" spans="1:16" x14ac:dyDescent="0.25">
      <c r="A401" s="25"/>
      <c r="B401" s="38"/>
      <c r="C401" s="38"/>
      <c r="D401" s="38"/>
      <c r="E401" s="38"/>
      <c r="F401" s="38"/>
      <c r="G401" s="39"/>
      <c r="H401" s="45"/>
      <c r="I401" s="39"/>
      <c r="J401" s="39"/>
      <c r="K401" s="38"/>
      <c r="L401" s="42"/>
      <c r="M401" s="43"/>
      <c r="N401" s="38"/>
      <c r="O401" s="38"/>
      <c r="P401" s="38"/>
    </row>
    <row r="402" spans="1:16" x14ac:dyDescent="0.25">
      <c r="A402" s="25"/>
      <c r="B402" s="38"/>
      <c r="C402" s="38"/>
      <c r="D402" s="38"/>
      <c r="E402" s="38"/>
      <c r="F402" s="38"/>
      <c r="G402" s="39"/>
      <c r="H402" s="45"/>
      <c r="I402" s="39"/>
      <c r="J402" s="39"/>
      <c r="K402" s="38"/>
      <c r="L402" s="42"/>
      <c r="M402" s="43"/>
      <c r="N402" s="38"/>
      <c r="O402" s="38"/>
      <c r="P402" s="38"/>
    </row>
    <row r="403" spans="1:16" x14ac:dyDescent="0.25">
      <c r="A403" s="25"/>
      <c r="B403" s="38"/>
      <c r="C403" s="38"/>
      <c r="D403" s="38"/>
      <c r="E403" s="38"/>
      <c r="F403" s="38"/>
      <c r="G403" s="39"/>
      <c r="H403" s="45"/>
      <c r="I403" s="39"/>
      <c r="J403" s="39"/>
      <c r="K403" s="38"/>
      <c r="L403" s="42"/>
      <c r="M403" s="43"/>
      <c r="N403" s="38"/>
      <c r="O403" s="38"/>
      <c r="P403" s="38"/>
    </row>
    <row r="404" spans="1:16" x14ac:dyDescent="0.25">
      <c r="A404" s="25"/>
      <c r="B404" s="38"/>
      <c r="C404" s="38"/>
      <c r="D404" s="38"/>
      <c r="E404" s="38"/>
      <c r="F404" s="38"/>
      <c r="G404" s="39"/>
      <c r="H404" s="45"/>
      <c r="I404" s="39"/>
      <c r="J404" s="39"/>
      <c r="K404" s="38"/>
      <c r="L404" s="42"/>
      <c r="M404" s="43"/>
      <c r="N404" s="38"/>
      <c r="O404" s="38"/>
      <c r="P404" s="38"/>
    </row>
    <row r="405" spans="1:16" x14ac:dyDescent="0.25">
      <c r="A405" s="25"/>
      <c r="B405" s="38"/>
      <c r="C405" s="38"/>
      <c r="D405" s="38"/>
      <c r="E405" s="38"/>
      <c r="F405" s="38"/>
      <c r="G405" s="39"/>
      <c r="H405" s="45"/>
      <c r="I405" s="39"/>
      <c r="J405" s="39"/>
      <c r="K405" s="38"/>
      <c r="L405" s="42"/>
      <c r="M405" s="43"/>
      <c r="N405" s="38"/>
      <c r="O405" s="38"/>
      <c r="P405" s="38"/>
    </row>
    <row r="406" spans="1:16" x14ac:dyDescent="0.25">
      <c r="A406" s="25"/>
      <c r="B406" s="38"/>
      <c r="C406" s="38"/>
      <c r="D406" s="38"/>
      <c r="E406" s="38"/>
      <c r="F406" s="38"/>
      <c r="G406" s="39"/>
      <c r="H406" s="45"/>
      <c r="I406" s="39"/>
      <c r="J406" s="39"/>
      <c r="K406" s="38"/>
      <c r="L406" s="42"/>
      <c r="M406" s="43"/>
      <c r="N406" s="38"/>
      <c r="O406" s="38"/>
      <c r="P406" s="38"/>
    </row>
    <row r="407" spans="1:16" x14ac:dyDescent="0.25">
      <c r="A407" s="25"/>
      <c r="B407" s="38"/>
      <c r="C407" s="38"/>
      <c r="D407" s="38"/>
      <c r="E407" s="38"/>
      <c r="F407" s="38"/>
      <c r="G407" s="39"/>
      <c r="H407" s="45"/>
      <c r="I407" s="39"/>
      <c r="J407" s="39"/>
      <c r="K407" s="38"/>
      <c r="L407" s="42"/>
      <c r="M407" s="43"/>
      <c r="N407" s="38"/>
      <c r="O407" s="38"/>
      <c r="P407" s="38"/>
    </row>
    <row r="408" spans="1:16" x14ac:dyDescent="0.25">
      <c r="A408" s="25"/>
      <c r="B408" s="38"/>
      <c r="C408" s="38"/>
      <c r="D408" s="38"/>
      <c r="E408" s="38"/>
      <c r="F408" s="38"/>
      <c r="G408" s="39"/>
      <c r="H408" s="45"/>
      <c r="I408" s="39"/>
      <c r="J408" s="39"/>
      <c r="K408" s="38"/>
      <c r="L408" s="42"/>
      <c r="M408" s="43"/>
      <c r="N408" s="38"/>
      <c r="O408" s="38"/>
      <c r="P408" s="38"/>
    </row>
    <row r="409" spans="1:16" x14ac:dyDescent="0.25">
      <c r="A409" s="25"/>
      <c r="B409" s="38"/>
      <c r="C409" s="38"/>
      <c r="D409" s="38"/>
      <c r="E409" s="38"/>
      <c r="F409" s="38"/>
      <c r="G409" s="39"/>
      <c r="H409" s="45"/>
      <c r="I409" s="39"/>
      <c r="J409" s="39"/>
      <c r="K409" s="38"/>
      <c r="L409" s="42"/>
      <c r="M409" s="43"/>
      <c r="N409" s="38"/>
      <c r="O409" s="38"/>
      <c r="P409" s="38"/>
    </row>
    <row r="410" spans="1:16" x14ac:dyDescent="0.25">
      <c r="A410" s="25"/>
      <c r="B410" s="38"/>
      <c r="C410" s="38"/>
      <c r="D410" s="38"/>
      <c r="E410" s="38"/>
      <c r="F410" s="38"/>
      <c r="G410" s="39"/>
      <c r="H410" s="45"/>
      <c r="I410" s="39"/>
      <c r="J410" s="39"/>
      <c r="K410" s="38"/>
      <c r="L410" s="42"/>
      <c r="M410" s="43"/>
      <c r="N410" s="38"/>
      <c r="O410" s="38"/>
      <c r="P410" s="38"/>
    </row>
    <row r="411" spans="1:16" x14ac:dyDescent="0.25">
      <c r="A411" s="25"/>
      <c r="B411" s="38"/>
      <c r="C411" s="38"/>
      <c r="D411" s="38"/>
      <c r="E411" s="38"/>
      <c r="F411" s="38"/>
      <c r="G411" s="39"/>
      <c r="H411" s="45"/>
      <c r="I411" s="39"/>
      <c r="J411" s="39"/>
      <c r="K411" s="38"/>
      <c r="L411" s="42"/>
      <c r="M411" s="43"/>
      <c r="N411" s="38"/>
      <c r="O411" s="38"/>
      <c r="P411" s="38"/>
    </row>
    <row r="412" spans="1:16" x14ac:dyDescent="0.25">
      <c r="A412" s="25"/>
      <c r="B412" s="38"/>
      <c r="C412" s="38"/>
      <c r="D412" s="38"/>
      <c r="E412" s="38"/>
      <c r="F412" s="38"/>
      <c r="G412" s="39"/>
      <c r="H412" s="45"/>
      <c r="I412" s="39"/>
      <c r="J412" s="39"/>
      <c r="K412" s="38"/>
      <c r="L412" s="42"/>
      <c r="M412" s="43"/>
      <c r="N412" s="38"/>
      <c r="O412" s="38"/>
      <c r="P412" s="38"/>
    </row>
    <row r="413" spans="1:16" x14ac:dyDescent="0.25">
      <c r="A413" s="25"/>
      <c r="B413" s="38"/>
      <c r="C413" s="38"/>
      <c r="D413" s="38"/>
      <c r="E413" s="38"/>
      <c r="F413" s="38"/>
      <c r="G413" s="39"/>
      <c r="H413" s="45"/>
      <c r="I413" s="39"/>
      <c r="J413" s="39"/>
      <c r="K413" s="38"/>
      <c r="L413" s="42"/>
      <c r="M413" s="43"/>
      <c r="N413" s="38"/>
      <c r="O413" s="38"/>
      <c r="P413" s="38"/>
    </row>
    <row r="414" spans="1:16" x14ac:dyDescent="0.25">
      <c r="A414" s="25"/>
      <c r="B414" s="38"/>
      <c r="C414" s="38"/>
      <c r="D414" s="38"/>
      <c r="E414" s="38"/>
      <c r="F414" s="38"/>
      <c r="G414" s="39"/>
      <c r="H414" s="45"/>
      <c r="I414" s="39"/>
      <c r="J414" s="39"/>
      <c r="K414" s="38"/>
      <c r="L414" s="42"/>
      <c r="M414" s="43"/>
      <c r="N414" s="38"/>
      <c r="O414" s="38"/>
      <c r="P414" s="38"/>
    </row>
    <row r="415" spans="1:16" x14ac:dyDescent="0.25">
      <c r="A415" s="25"/>
      <c r="B415" s="38"/>
      <c r="C415" s="38"/>
      <c r="D415" s="38"/>
      <c r="E415" s="38"/>
      <c r="F415" s="38"/>
      <c r="G415" s="39"/>
      <c r="H415" s="45"/>
      <c r="I415" s="39"/>
      <c r="J415" s="39"/>
      <c r="K415" s="38"/>
      <c r="L415" s="42"/>
      <c r="M415" s="43"/>
      <c r="N415" s="38"/>
      <c r="O415" s="38"/>
      <c r="P415" s="38"/>
    </row>
    <row r="416" spans="1:16" x14ac:dyDescent="0.25">
      <c r="A416" s="25"/>
      <c r="B416" s="38"/>
      <c r="C416" s="38"/>
      <c r="D416" s="38"/>
      <c r="E416" s="38"/>
      <c r="F416" s="38"/>
      <c r="G416" s="39"/>
      <c r="H416" s="45"/>
      <c r="I416" s="39"/>
      <c r="J416" s="39"/>
      <c r="K416" s="38"/>
      <c r="L416" s="42"/>
      <c r="M416" s="43"/>
      <c r="N416" s="38"/>
      <c r="O416" s="38"/>
      <c r="P416" s="38"/>
    </row>
    <row r="417" spans="1:16" x14ac:dyDescent="0.25">
      <c r="A417" s="25"/>
      <c r="B417" s="38"/>
      <c r="C417" s="38"/>
      <c r="D417" s="38"/>
      <c r="E417" s="38"/>
      <c r="F417" s="38"/>
      <c r="G417" s="39"/>
      <c r="H417" s="45"/>
      <c r="I417" s="39"/>
      <c r="J417" s="39"/>
      <c r="K417" s="38"/>
      <c r="L417" s="42"/>
      <c r="M417" s="43"/>
      <c r="N417" s="38"/>
      <c r="O417" s="38"/>
      <c r="P417" s="38"/>
    </row>
    <row r="418" spans="1:16" x14ac:dyDescent="0.25">
      <c r="A418" s="25"/>
      <c r="B418" s="38"/>
      <c r="C418" s="38"/>
      <c r="D418" s="38"/>
      <c r="E418" s="38"/>
      <c r="F418" s="38"/>
      <c r="G418" s="39"/>
      <c r="H418" s="45"/>
      <c r="I418" s="39"/>
      <c r="J418" s="39"/>
      <c r="K418" s="38"/>
      <c r="L418" s="42"/>
      <c r="M418" s="43"/>
      <c r="N418" s="38"/>
      <c r="O418" s="38"/>
      <c r="P418" s="38"/>
    </row>
    <row r="419" spans="1:16" x14ac:dyDescent="0.25">
      <c r="A419" s="25"/>
      <c r="B419" s="38"/>
      <c r="C419" s="38"/>
      <c r="D419" s="38"/>
      <c r="E419" s="38"/>
      <c r="F419" s="38"/>
      <c r="G419" s="39"/>
      <c r="H419" s="45"/>
      <c r="I419" s="39"/>
      <c r="J419" s="39"/>
      <c r="K419" s="38"/>
      <c r="L419" s="42"/>
      <c r="M419" s="43"/>
      <c r="N419" s="38"/>
      <c r="O419" s="38"/>
      <c r="P419" s="38"/>
    </row>
    <row r="420" spans="1:16" x14ac:dyDescent="0.25">
      <c r="A420" s="25"/>
      <c r="B420" s="38"/>
      <c r="C420" s="38"/>
      <c r="D420" s="38"/>
      <c r="E420" s="38"/>
      <c r="F420" s="38"/>
      <c r="G420" s="39"/>
      <c r="H420" s="45"/>
      <c r="I420" s="39"/>
      <c r="J420" s="39"/>
      <c r="K420" s="38"/>
      <c r="L420" s="42"/>
      <c r="M420" s="43"/>
      <c r="N420" s="38"/>
      <c r="O420" s="38"/>
      <c r="P420" s="38"/>
    </row>
    <row r="421" spans="1:16" x14ac:dyDescent="0.25">
      <c r="A421" s="25"/>
      <c r="B421" s="38"/>
      <c r="C421" s="38"/>
      <c r="D421" s="38"/>
      <c r="E421" s="38"/>
      <c r="F421" s="38"/>
      <c r="G421" s="39"/>
      <c r="H421" s="45"/>
      <c r="I421" s="39"/>
      <c r="J421" s="39"/>
      <c r="K421" s="38"/>
      <c r="L421" s="42"/>
      <c r="M421" s="43"/>
      <c r="N421" s="38"/>
      <c r="O421" s="38"/>
      <c r="P421" s="38"/>
    </row>
    <row r="422" spans="1:16" x14ac:dyDescent="0.25">
      <c r="A422" s="25"/>
      <c r="B422" s="38"/>
      <c r="C422" s="38"/>
      <c r="D422" s="38"/>
      <c r="E422" s="38"/>
      <c r="F422" s="38"/>
      <c r="G422" s="39"/>
      <c r="H422" s="45"/>
      <c r="I422" s="39"/>
      <c r="J422" s="39"/>
      <c r="K422" s="38"/>
      <c r="L422" s="42"/>
      <c r="M422" s="43"/>
      <c r="N422" s="38"/>
      <c r="O422" s="38"/>
      <c r="P422" s="38"/>
    </row>
    <row r="423" spans="1:16" x14ac:dyDescent="0.25">
      <c r="A423" s="25"/>
      <c r="B423" s="38"/>
      <c r="C423" s="38"/>
      <c r="D423" s="38"/>
      <c r="E423" s="38"/>
      <c r="F423" s="38"/>
      <c r="G423" s="39"/>
      <c r="H423" s="45"/>
      <c r="I423" s="39"/>
      <c r="J423" s="39"/>
      <c r="K423" s="38"/>
      <c r="L423" s="42"/>
      <c r="M423" s="43"/>
      <c r="N423" s="38"/>
      <c r="O423" s="38"/>
      <c r="P423" s="38"/>
    </row>
    <row r="424" spans="1:16" x14ac:dyDescent="0.25">
      <c r="A424" s="25"/>
      <c r="B424" s="38"/>
      <c r="C424" s="38"/>
      <c r="D424" s="38"/>
      <c r="E424" s="38"/>
      <c r="F424" s="38"/>
      <c r="G424" s="39"/>
      <c r="H424" s="45"/>
      <c r="I424" s="39"/>
      <c r="J424" s="39"/>
      <c r="K424" s="38"/>
      <c r="L424" s="42"/>
      <c r="M424" s="43"/>
      <c r="N424" s="38"/>
      <c r="O424" s="38"/>
      <c r="P424" s="38"/>
    </row>
    <row r="425" spans="1:16" x14ac:dyDescent="0.25">
      <c r="A425" s="25"/>
      <c r="B425" s="38"/>
      <c r="C425" s="38"/>
      <c r="D425" s="38"/>
      <c r="E425" s="38"/>
      <c r="F425" s="38"/>
      <c r="G425" s="39"/>
      <c r="H425" s="45"/>
      <c r="I425" s="39"/>
      <c r="J425" s="39"/>
      <c r="K425" s="38"/>
      <c r="L425" s="42"/>
      <c r="M425" s="43"/>
      <c r="N425" s="38"/>
      <c r="O425" s="38"/>
      <c r="P425" s="38"/>
    </row>
    <row r="426" spans="1:16" x14ac:dyDescent="0.25">
      <c r="A426" s="25"/>
      <c r="B426" s="38"/>
      <c r="C426" s="38"/>
      <c r="D426" s="38"/>
      <c r="E426" s="38"/>
      <c r="F426" s="38"/>
      <c r="G426" s="39"/>
      <c r="H426" s="45"/>
      <c r="I426" s="39"/>
      <c r="J426" s="39"/>
      <c r="K426" s="38"/>
      <c r="L426" s="42"/>
      <c r="M426" s="43"/>
      <c r="N426" s="38"/>
      <c r="O426" s="38"/>
      <c r="P426" s="38"/>
    </row>
    <row r="427" spans="1:16" x14ac:dyDescent="0.25">
      <c r="A427" s="25"/>
      <c r="B427" s="38"/>
      <c r="C427" s="38"/>
      <c r="D427" s="38"/>
      <c r="E427" s="38"/>
      <c r="F427" s="38"/>
      <c r="G427" s="39"/>
      <c r="H427" s="45"/>
      <c r="I427" s="39"/>
      <c r="J427" s="39"/>
      <c r="K427" s="38"/>
      <c r="L427" s="42"/>
      <c r="M427" s="43"/>
      <c r="N427" s="38"/>
      <c r="O427" s="38"/>
      <c r="P427" s="38"/>
    </row>
    <row r="428" spans="1:16" x14ac:dyDescent="0.25">
      <c r="A428" s="25"/>
      <c r="B428" s="38"/>
      <c r="C428" s="38"/>
      <c r="D428" s="38"/>
      <c r="E428" s="38"/>
      <c r="F428" s="38"/>
      <c r="G428" s="39"/>
      <c r="H428" s="45"/>
      <c r="I428" s="39"/>
      <c r="J428" s="39"/>
      <c r="K428" s="38"/>
      <c r="L428" s="42"/>
      <c r="M428" s="43"/>
      <c r="N428" s="38"/>
      <c r="O428" s="38"/>
      <c r="P428" s="38"/>
    </row>
    <row r="429" spans="1:16" x14ac:dyDescent="0.25">
      <c r="A429" s="25"/>
      <c r="B429" s="38"/>
      <c r="C429" s="38"/>
      <c r="D429" s="38"/>
      <c r="E429" s="38"/>
      <c r="F429" s="38"/>
      <c r="G429" s="39"/>
      <c r="H429" s="45"/>
      <c r="I429" s="39"/>
      <c r="J429" s="39"/>
      <c r="K429" s="38"/>
      <c r="L429" s="42"/>
      <c r="M429" s="43"/>
      <c r="N429" s="38"/>
      <c r="O429" s="38"/>
      <c r="P429" s="38"/>
    </row>
    <row r="430" spans="1:16" x14ac:dyDescent="0.25">
      <c r="A430" s="25"/>
      <c r="B430" s="38"/>
      <c r="C430" s="38"/>
      <c r="D430" s="38"/>
      <c r="E430" s="38"/>
      <c r="F430" s="38"/>
      <c r="G430" s="39"/>
      <c r="H430" s="45"/>
      <c r="I430" s="39"/>
      <c r="J430" s="39"/>
      <c r="K430" s="38"/>
      <c r="L430" s="42"/>
      <c r="M430" s="43"/>
      <c r="N430" s="38"/>
      <c r="O430" s="38"/>
      <c r="P430" s="38"/>
    </row>
    <row r="431" spans="1:16" x14ac:dyDescent="0.25">
      <c r="A431" s="25"/>
      <c r="B431" s="38"/>
      <c r="C431" s="38"/>
      <c r="D431" s="38"/>
      <c r="E431" s="38"/>
      <c r="F431" s="38"/>
      <c r="G431" s="39"/>
      <c r="H431" s="45"/>
      <c r="I431" s="39"/>
      <c r="J431" s="39"/>
      <c r="K431" s="38"/>
      <c r="L431" s="42"/>
      <c r="M431" s="43"/>
      <c r="N431" s="38"/>
      <c r="O431" s="38"/>
      <c r="P431" s="38"/>
    </row>
    <row r="432" spans="1:16" x14ac:dyDescent="0.25">
      <c r="A432" s="25"/>
      <c r="B432" s="38"/>
      <c r="C432" s="38"/>
      <c r="D432" s="38"/>
      <c r="E432" s="38"/>
      <c r="F432" s="38"/>
      <c r="G432" s="39"/>
      <c r="H432" s="45"/>
      <c r="I432" s="39"/>
      <c r="J432" s="39"/>
      <c r="K432" s="38"/>
      <c r="L432" s="42"/>
      <c r="M432" s="43"/>
      <c r="N432" s="38"/>
      <c r="O432" s="38"/>
      <c r="P432" s="38"/>
    </row>
    <row r="433" spans="1:16" x14ac:dyDescent="0.25">
      <c r="A433" s="25"/>
      <c r="B433" s="38"/>
      <c r="C433" s="38"/>
      <c r="D433" s="38"/>
      <c r="E433" s="38"/>
      <c r="F433" s="38"/>
      <c r="G433" s="39"/>
      <c r="H433" s="45"/>
      <c r="I433" s="39"/>
      <c r="J433" s="39"/>
      <c r="K433" s="38"/>
      <c r="L433" s="42"/>
      <c r="M433" s="43"/>
      <c r="N433" s="38"/>
      <c r="O433" s="38"/>
      <c r="P433" s="38"/>
    </row>
    <row r="434" spans="1:16" x14ac:dyDescent="0.25">
      <c r="A434" s="25"/>
      <c r="B434" s="38"/>
      <c r="C434" s="38"/>
      <c r="D434" s="38"/>
      <c r="E434" s="38"/>
      <c r="F434" s="38"/>
      <c r="G434" s="39"/>
      <c r="H434" s="45"/>
      <c r="I434" s="39"/>
      <c r="J434" s="39"/>
      <c r="K434" s="38"/>
      <c r="L434" s="42"/>
      <c r="M434" s="43"/>
      <c r="N434" s="38"/>
      <c r="O434" s="38"/>
      <c r="P434" s="38"/>
    </row>
    <row r="435" spans="1:16" x14ac:dyDescent="0.25">
      <c r="A435" s="25"/>
      <c r="B435" s="38"/>
      <c r="C435" s="38"/>
      <c r="D435" s="38"/>
      <c r="E435" s="38"/>
      <c r="F435" s="38"/>
      <c r="G435" s="39"/>
      <c r="H435" s="45"/>
      <c r="I435" s="39"/>
      <c r="J435" s="39"/>
      <c r="K435" s="38"/>
      <c r="L435" s="42"/>
      <c r="M435" s="43"/>
      <c r="N435" s="38"/>
      <c r="O435" s="38"/>
      <c r="P435" s="38"/>
    </row>
    <row r="436" spans="1:16" x14ac:dyDescent="0.25">
      <c r="A436" s="25"/>
      <c r="B436" s="38"/>
      <c r="C436" s="38"/>
      <c r="D436" s="38"/>
      <c r="E436" s="38"/>
      <c r="F436" s="38"/>
      <c r="G436" s="39"/>
      <c r="H436" s="45"/>
      <c r="I436" s="39"/>
      <c r="J436" s="39"/>
      <c r="K436" s="38"/>
      <c r="L436" s="42"/>
      <c r="M436" s="43"/>
      <c r="N436" s="38"/>
      <c r="O436" s="38"/>
      <c r="P436" s="38"/>
    </row>
    <row r="437" spans="1:16" x14ac:dyDescent="0.25">
      <c r="A437" s="25"/>
      <c r="B437" s="38"/>
      <c r="C437" s="38"/>
      <c r="D437" s="38"/>
      <c r="E437" s="38"/>
      <c r="F437" s="38"/>
      <c r="G437" s="39"/>
      <c r="H437" s="45"/>
      <c r="I437" s="39"/>
      <c r="J437" s="39"/>
      <c r="K437" s="38"/>
      <c r="L437" s="42"/>
      <c r="M437" s="43"/>
      <c r="N437" s="38"/>
      <c r="O437" s="38"/>
      <c r="P437" s="38"/>
    </row>
    <row r="438" spans="1:16" x14ac:dyDescent="0.25">
      <c r="A438" s="25"/>
      <c r="B438" s="38"/>
      <c r="C438" s="38"/>
      <c r="D438" s="38"/>
      <c r="E438" s="38"/>
      <c r="F438" s="38"/>
      <c r="G438" s="39"/>
      <c r="H438" s="45"/>
      <c r="I438" s="39"/>
      <c r="J438" s="39"/>
      <c r="K438" s="38"/>
      <c r="L438" s="42"/>
      <c r="M438" s="43"/>
      <c r="N438" s="38"/>
      <c r="O438" s="38"/>
      <c r="P438" s="38"/>
    </row>
    <row r="439" spans="1:16" x14ac:dyDescent="0.25">
      <c r="A439" s="25"/>
      <c r="B439" s="38"/>
      <c r="C439" s="38"/>
      <c r="D439" s="38"/>
      <c r="E439" s="38"/>
      <c r="F439" s="38"/>
      <c r="G439" s="39"/>
      <c r="H439" s="45"/>
      <c r="I439" s="39"/>
      <c r="J439" s="39"/>
      <c r="K439" s="38"/>
      <c r="L439" s="42"/>
      <c r="M439" s="43"/>
      <c r="N439" s="38"/>
      <c r="O439" s="38"/>
      <c r="P439" s="38"/>
    </row>
    <row r="440" spans="1:16" x14ac:dyDescent="0.25">
      <c r="A440" s="25"/>
      <c r="B440" s="38"/>
      <c r="C440" s="38"/>
      <c r="D440" s="38"/>
      <c r="E440" s="38"/>
      <c r="F440" s="38"/>
      <c r="G440" s="39"/>
      <c r="H440" s="45"/>
      <c r="I440" s="39"/>
      <c r="J440" s="39"/>
      <c r="K440" s="38"/>
      <c r="L440" s="42"/>
      <c r="M440" s="43"/>
      <c r="N440" s="38"/>
      <c r="O440" s="38"/>
      <c r="P440" s="38"/>
    </row>
    <row r="441" spans="1:16" x14ac:dyDescent="0.25">
      <c r="A441" s="25"/>
      <c r="B441" s="38"/>
      <c r="C441" s="38"/>
      <c r="D441" s="38"/>
      <c r="E441" s="38"/>
      <c r="F441" s="38"/>
      <c r="G441" s="39"/>
      <c r="H441" s="45"/>
      <c r="I441" s="39"/>
      <c r="J441" s="39"/>
      <c r="K441" s="38"/>
      <c r="L441" s="42"/>
      <c r="M441" s="43"/>
      <c r="N441" s="38"/>
      <c r="O441" s="38"/>
      <c r="P441" s="38"/>
    </row>
    <row r="442" spans="1:16" x14ac:dyDescent="0.25">
      <c r="A442" s="25"/>
      <c r="B442" s="38"/>
      <c r="C442" s="38"/>
      <c r="D442" s="38"/>
      <c r="E442" s="38"/>
      <c r="F442" s="38"/>
      <c r="G442" s="39"/>
      <c r="H442" s="45"/>
      <c r="I442" s="39"/>
      <c r="J442" s="39"/>
      <c r="K442" s="38"/>
      <c r="L442" s="42"/>
      <c r="M442" s="43"/>
      <c r="N442" s="38"/>
      <c r="O442" s="38"/>
      <c r="P442" s="38"/>
    </row>
    <row r="443" spans="1:16" x14ac:dyDescent="0.25">
      <c r="A443" s="25"/>
      <c r="B443" s="38"/>
      <c r="C443" s="38"/>
      <c r="D443" s="38"/>
      <c r="E443" s="38"/>
      <c r="F443" s="38"/>
      <c r="G443" s="39"/>
      <c r="H443" s="45"/>
      <c r="I443" s="39"/>
      <c r="J443" s="39"/>
      <c r="K443" s="38"/>
      <c r="L443" s="42"/>
      <c r="M443" s="43"/>
      <c r="N443" s="38"/>
      <c r="O443" s="38"/>
      <c r="P443" s="38"/>
    </row>
    <row r="444" spans="1:16" x14ac:dyDescent="0.25">
      <c r="A444" s="25"/>
      <c r="B444" s="38"/>
      <c r="C444" s="38"/>
      <c r="D444" s="38"/>
      <c r="E444" s="38"/>
      <c r="F444" s="38"/>
      <c r="G444" s="39"/>
      <c r="H444" s="45"/>
      <c r="I444" s="39"/>
      <c r="J444" s="39"/>
      <c r="K444" s="38"/>
      <c r="L444" s="42"/>
      <c r="M444" s="43"/>
      <c r="N444" s="38"/>
      <c r="O444" s="38"/>
      <c r="P444" s="38"/>
    </row>
    <row r="445" spans="1:16" x14ac:dyDescent="0.25">
      <c r="A445" s="25"/>
      <c r="B445" s="38"/>
      <c r="C445" s="38"/>
      <c r="D445" s="38"/>
      <c r="E445" s="38"/>
      <c r="F445" s="38"/>
      <c r="G445" s="39"/>
      <c r="H445" s="45"/>
      <c r="I445" s="39"/>
      <c r="J445" s="39"/>
      <c r="K445" s="38"/>
      <c r="L445" s="42"/>
      <c r="M445" s="43"/>
      <c r="N445" s="38"/>
      <c r="O445" s="38"/>
      <c r="P445" s="38"/>
    </row>
    <row r="446" spans="1:16" x14ac:dyDescent="0.25">
      <c r="A446" s="25"/>
      <c r="B446" s="38"/>
      <c r="C446" s="38"/>
      <c r="D446" s="38"/>
      <c r="E446" s="38"/>
      <c r="F446" s="38"/>
      <c r="G446" s="39"/>
      <c r="H446" s="45"/>
      <c r="I446" s="39"/>
      <c r="J446" s="39"/>
      <c r="K446" s="38"/>
      <c r="L446" s="42"/>
      <c r="M446" s="43"/>
      <c r="N446" s="38"/>
      <c r="O446" s="38"/>
      <c r="P446" s="38"/>
    </row>
    <row r="447" spans="1:16" x14ac:dyDescent="0.25">
      <c r="A447" s="25"/>
      <c r="B447" s="38"/>
      <c r="C447" s="38"/>
      <c r="D447" s="38"/>
      <c r="E447" s="38"/>
      <c r="F447" s="38"/>
      <c r="G447" s="39"/>
      <c r="H447" s="45"/>
      <c r="I447" s="39"/>
      <c r="J447" s="39"/>
      <c r="K447" s="38"/>
      <c r="L447" s="42"/>
      <c r="M447" s="43"/>
      <c r="N447" s="38"/>
      <c r="O447" s="38"/>
      <c r="P447" s="38"/>
    </row>
    <row r="448" spans="1:16" x14ac:dyDescent="0.25">
      <c r="A448" s="25"/>
      <c r="B448" s="38"/>
      <c r="C448" s="38"/>
      <c r="D448" s="38"/>
      <c r="E448" s="38"/>
      <c r="F448" s="38"/>
      <c r="G448" s="39"/>
      <c r="H448" s="45"/>
      <c r="I448" s="39"/>
      <c r="J448" s="39"/>
      <c r="K448" s="38"/>
      <c r="L448" s="42"/>
      <c r="M448" s="43"/>
      <c r="N448" s="38"/>
      <c r="O448" s="38"/>
      <c r="P448" s="38"/>
    </row>
    <row r="449" spans="1:16" x14ac:dyDescent="0.25">
      <c r="A449" s="25"/>
      <c r="B449" s="38"/>
      <c r="C449" s="38"/>
      <c r="D449" s="38"/>
      <c r="E449" s="38"/>
      <c r="F449" s="38"/>
      <c r="G449" s="39"/>
      <c r="H449" s="45"/>
      <c r="I449" s="39"/>
      <c r="J449" s="39"/>
      <c r="K449" s="38"/>
      <c r="L449" s="42"/>
      <c r="M449" s="43"/>
      <c r="N449" s="38"/>
      <c r="O449" s="38"/>
      <c r="P449" s="38"/>
    </row>
    <row r="450" spans="1:16" x14ac:dyDescent="0.25">
      <c r="A450" s="25"/>
      <c r="B450" s="38"/>
      <c r="C450" s="38"/>
      <c r="D450" s="38"/>
      <c r="E450" s="38"/>
      <c r="F450" s="38"/>
      <c r="G450" s="39"/>
      <c r="H450" s="45"/>
      <c r="I450" s="39"/>
      <c r="J450" s="39"/>
      <c r="K450" s="38"/>
      <c r="L450" s="42"/>
      <c r="M450" s="43"/>
      <c r="N450" s="38"/>
      <c r="O450" s="38"/>
      <c r="P450" s="38"/>
    </row>
    <row r="451" spans="1:16" x14ac:dyDescent="0.25">
      <c r="A451" s="25"/>
      <c r="B451" s="38"/>
      <c r="C451" s="38"/>
      <c r="D451" s="38"/>
      <c r="E451" s="38"/>
      <c r="F451" s="38"/>
      <c r="G451" s="39"/>
      <c r="H451" s="45"/>
      <c r="I451" s="39"/>
      <c r="J451" s="39"/>
      <c r="K451" s="38"/>
      <c r="L451" s="42"/>
      <c r="M451" s="43"/>
      <c r="N451" s="38"/>
      <c r="O451" s="38"/>
      <c r="P451" s="38"/>
    </row>
    <row r="452" spans="1:16" x14ac:dyDescent="0.25">
      <c r="A452" s="25"/>
      <c r="B452" s="38"/>
      <c r="C452" s="38"/>
      <c r="D452" s="38"/>
      <c r="E452" s="38"/>
      <c r="F452" s="38"/>
      <c r="G452" s="39"/>
      <c r="H452" s="45"/>
      <c r="I452" s="39"/>
      <c r="J452" s="39"/>
      <c r="K452" s="38"/>
      <c r="L452" s="42"/>
      <c r="M452" s="43"/>
      <c r="N452" s="38"/>
      <c r="O452" s="38"/>
      <c r="P452" s="38"/>
    </row>
    <row r="453" spans="1:16" x14ac:dyDescent="0.25">
      <c r="A453" s="25"/>
      <c r="B453" s="38"/>
      <c r="C453" s="38"/>
      <c r="D453" s="38"/>
      <c r="E453" s="38"/>
      <c r="F453" s="38"/>
      <c r="G453" s="39"/>
      <c r="H453" s="45"/>
      <c r="I453" s="39"/>
      <c r="J453" s="39"/>
      <c r="K453" s="38"/>
      <c r="L453" s="42"/>
      <c r="M453" s="43"/>
      <c r="N453" s="38"/>
      <c r="O453" s="38"/>
      <c r="P453" s="38"/>
    </row>
    <row r="454" spans="1:16" x14ac:dyDescent="0.25">
      <c r="A454" s="25"/>
      <c r="B454" s="38"/>
      <c r="C454" s="38"/>
      <c r="D454" s="38"/>
      <c r="E454" s="38"/>
      <c r="F454" s="38"/>
      <c r="G454" s="39"/>
      <c r="H454" s="45"/>
      <c r="I454" s="39"/>
      <c r="J454" s="39"/>
      <c r="K454" s="38"/>
      <c r="L454" s="42"/>
      <c r="M454" s="43"/>
      <c r="N454" s="38"/>
      <c r="O454" s="38"/>
      <c r="P454" s="38"/>
    </row>
    <row r="455" spans="1:16" x14ac:dyDescent="0.25">
      <c r="A455" s="25"/>
      <c r="B455" s="38"/>
      <c r="C455" s="38"/>
      <c r="D455" s="38"/>
      <c r="E455" s="38"/>
      <c r="F455" s="38"/>
      <c r="G455" s="39"/>
      <c r="H455" s="45"/>
      <c r="I455" s="39"/>
      <c r="J455" s="39"/>
      <c r="K455" s="38"/>
      <c r="L455" s="42"/>
      <c r="M455" s="43"/>
      <c r="N455" s="38"/>
      <c r="O455" s="38"/>
      <c r="P455" s="38"/>
    </row>
    <row r="456" spans="1:16" x14ac:dyDescent="0.25">
      <c r="A456" s="25"/>
      <c r="B456" s="38"/>
      <c r="C456" s="38"/>
      <c r="D456" s="38"/>
      <c r="E456" s="38"/>
      <c r="F456" s="38"/>
      <c r="G456" s="39"/>
      <c r="H456" s="45"/>
      <c r="I456" s="39"/>
      <c r="J456" s="39"/>
      <c r="K456" s="38"/>
      <c r="L456" s="42"/>
      <c r="M456" s="43"/>
      <c r="N456" s="38"/>
      <c r="O456" s="38"/>
      <c r="P456" s="38"/>
    </row>
    <row r="457" spans="1:16" x14ac:dyDescent="0.25">
      <c r="A457" s="25"/>
      <c r="B457" s="38"/>
      <c r="C457" s="38"/>
      <c r="D457" s="38"/>
      <c r="E457" s="38"/>
      <c r="F457" s="38"/>
      <c r="G457" s="39"/>
      <c r="H457" s="45"/>
      <c r="I457" s="39"/>
      <c r="J457" s="39"/>
      <c r="K457" s="38"/>
      <c r="L457" s="42"/>
      <c r="M457" s="43"/>
      <c r="N457" s="38"/>
      <c r="O457" s="38"/>
      <c r="P457" s="38"/>
    </row>
    <row r="458" spans="1:16" x14ac:dyDescent="0.25">
      <c r="A458" s="25"/>
      <c r="B458" s="38"/>
      <c r="C458" s="38"/>
      <c r="D458" s="38"/>
      <c r="E458" s="38"/>
      <c r="F458" s="38"/>
      <c r="G458" s="39"/>
      <c r="H458" s="45"/>
      <c r="I458" s="39"/>
      <c r="J458" s="39"/>
      <c r="K458" s="38"/>
      <c r="L458" s="42"/>
      <c r="M458" s="43"/>
      <c r="N458" s="38"/>
      <c r="O458" s="38"/>
      <c r="P458" s="38"/>
    </row>
    <row r="459" spans="1:16" x14ac:dyDescent="0.25">
      <c r="A459" s="25"/>
      <c r="B459" s="38"/>
      <c r="C459" s="38"/>
      <c r="D459" s="38"/>
      <c r="E459" s="38"/>
      <c r="F459" s="38"/>
      <c r="G459" s="39"/>
      <c r="H459" s="45"/>
      <c r="I459" s="39"/>
      <c r="J459" s="39"/>
      <c r="K459" s="38"/>
      <c r="L459" s="42"/>
      <c r="M459" s="43"/>
      <c r="N459" s="38"/>
      <c r="O459" s="38"/>
      <c r="P459" s="38"/>
    </row>
    <row r="460" spans="1:16" x14ac:dyDescent="0.25">
      <c r="A460" s="25"/>
      <c r="B460" s="38"/>
      <c r="C460" s="38"/>
      <c r="D460" s="38"/>
      <c r="E460" s="38"/>
      <c r="F460" s="38"/>
      <c r="G460" s="39"/>
      <c r="H460" s="45"/>
      <c r="I460" s="39"/>
      <c r="J460" s="39"/>
      <c r="K460" s="38"/>
      <c r="L460" s="42"/>
      <c r="M460" s="43"/>
      <c r="N460" s="38"/>
      <c r="O460" s="38"/>
      <c r="P460" s="38"/>
    </row>
    <row r="461" spans="1:16" x14ac:dyDescent="0.25">
      <c r="A461" s="25"/>
      <c r="B461" s="38"/>
      <c r="C461" s="38"/>
      <c r="D461" s="38"/>
      <c r="E461" s="38"/>
      <c r="F461" s="38"/>
      <c r="G461" s="39"/>
      <c r="H461" s="45"/>
      <c r="I461" s="39"/>
      <c r="J461" s="39"/>
      <c r="K461" s="38"/>
      <c r="L461" s="42"/>
      <c r="M461" s="43"/>
      <c r="N461" s="38"/>
      <c r="O461" s="38"/>
      <c r="P461" s="38"/>
    </row>
    <row r="462" spans="1:16" x14ac:dyDescent="0.25">
      <c r="A462" s="25"/>
      <c r="B462" s="38"/>
      <c r="C462" s="38"/>
      <c r="D462" s="38"/>
      <c r="E462" s="38"/>
      <c r="F462" s="38"/>
      <c r="G462" s="39"/>
      <c r="H462" s="45"/>
      <c r="I462" s="39"/>
      <c r="J462" s="39"/>
      <c r="K462" s="38"/>
      <c r="L462" s="42"/>
      <c r="M462" s="43"/>
      <c r="N462" s="38"/>
      <c r="O462" s="38"/>
      <c r="P462" s="38"/>
    </row>
    <row r="463" spans="1:16" x14ac:dyDescent="0.25">
      <c r="A463" s="25"/>
      <c r="B463" s="38"/>
      <c r="C463" s="38"/>
      <c r="D463" s="38"/>
      <c r="E463" s="38"/>
      <c r="F463" s="38"/>
      <c r="G463" s="39"/>
      <c r="H463" s="45"/>
      <c r="I463" s="39"/>
      <c r="J463" s="39"/>
      <c r="K463" s="38"/>
      <c r="L463" s="42"/>
      <c r="M463" s="43"/>
      <c r="N463" s="38"/>
      <c r="O463" s="38"/>
      <c r="P463" s="38"/>
    </row>
    <row r="464" spans="1:16" x14ac:dyDescent="0.25">
      <c r="A464" s="25"/>
      <c r="B464" s="38"/>
      <c r="C464" s="38"/>
      <c r="D464" s="38"/>
      <c r="E464" s="38"/>
      <c r="F464" s="38"/>
      <c r="G464" s="39"/>
      <c r="H464" s="45"/>
      <c r="I464" s="39"/>
      <c r="J464" s="39"/>
      <c r="K464" s="38"/>
      <c r="L464" s="42"/>
      <c r="M464" s="43"/>
      <c r="N464" s="38"/>
      <c r="O464" s="38"/>
      <c r="P464" s="38"/>
    </row>
    <row r="465" spans="1:16" x14ac:dyDescent="0.25">
      <c r="A465" s="25"/>
      <c r="B465" s="38"/>
      <c r="C465" s="38"/>
      <c r="D465" s="38"/>
      <c r="E465" s="38"/>
      <c r="F465" s="38"/>
      <c r="G465" s="39"/>
      <c r="H465" s="45"/>
      <c r="I465" s="39"/>
      <c r="J465" s="39"/>
      <c r="K465" s="38"/>
      <c r="L465" s="42"/>
      <c r="M465" s="43"/>
      <c r="N465" s="38"/>
      <c r="O465" s="38"/>
      <c r="P465" s="38"/>
    </row>
    <row r="466" spans="1:16" x14ac:dyDescent="0.25">
      <c r="A466" s="25"/>
      <c r="B466" s="38"/>
      <c r="C466" s="38"/>
      <c r="D466" s="38"/>
      <c r="E466" s="38"/>
      <c r="F466" s="38"/>
      <c r="G466" s="39"/>
      <c r="H466" s="45"/>
      <c r="I466" s="39"/>
      <c r="J466" s="39"/>
      <c r="K466" s="38"/>
      <c r="L466" s="42"/>
      <c r="M466" s="43"/>
      <c r="N466" s="38"/>
      <c r="O466" s="38"/>
      <c r="P466" s="38"/>
    </row>
    <row r="467" spans="1:16" x14ac:dyDescent="0.25">
      <c r="A467" s="25"/>
      <c r="B467" s="38"/>
      <c r="C467" s="38"/>
      <c r="D467" s="38"/>
      <c r="E467" s="38"/>
      <c r="F467" s="38"/>
      <c r="G467" s="39"/>
      <c r="H467" s="45"/>
      <c r="I467" s="39"/>
      <c r="J467" s="39"/>
      <c r="K467" s="38"/>
      <c r="L467" s="42"/>
      <c r="M467" s="43"/>
      <c r="N467" s="38"/>
      <c r="O467" s="38"/>
      <c r="P467" s="38"/>
    </row>
    <row r="468" spans="1:16" x14ac:dyDescent="0.25">
      <c r="A468" s="25"/>
      <c r="B468" s="38"/>
      <c r="C468" s="38"/>
      <c r="D468" s="38"/>
      <c r="E468" s="38"/>
      <c r="F468" s="38"/>
      <c r="G468" s="39"/>
      <c r="H468" s="45"/>
      <c r="I468" s="39"/>
      <c r="J468" s="39"/>
      <c r="K468" s="38"/>
      <c r="L468" s="42"/>
      <c r="M468" s="43"/>
      <c r="N468" s="38"/>
      <c r="O468" s="38"/>
      <c r="P468" s="38"/>
    </row>
    <row r="469" spans="1:16" x14ac:dyDescent="0.25">
      <c r="A469" s="25"/>
      <c r="B469" s="38"/>
      <c r="C469" s="38"/>
      <c r="D469" s="38"/>
      <c r="E469" s="38"/>
      <c r="F469" s="38"/>
      <c r="G469" s="39"/>
      <c r="H469" s="45"/>
      <c r="I469" s="39"/>
      <c r="J469" s="39"/>
      <c r="K469" s="38"/>
      <c r="L469" s="42"/>
      <c r="M469" s="43"/>
      <c r="N469" s="38"/>
      <c r="O469" s="38"/>
      <c r="P469" s="38"/>
    </row>
    <row r="470" spans="1:16" x14ac:dyDescent="0.25">
      <c r="A470" s="25"/>
      <c r="B470" s="38"/>
      <c r="C470" s="38"/>
      <c r="D470" s="38"/>
      <c r="E470" s="38"/>
      <c r="F470" s="38"/>
      <c r="G470" s="39"/>
      <c r="H470" s="45"/>
      <c r="I470" s="39"/>
      <c r="J470" s="39"/>
      <c r="K470" s="38"/>
      <c r="L470" s="42"/>
      <c r="M470" s="43"/>
      <c r="N470" s="38"/>
      <c r="O470" s="38"/>
      <c r="P470" s="38"/>
    </row>
    <row r="471" spans="1:16" x14ac:dyDescent="0.25">
      <c r="A471" s="25"/>
      <c r="B471" s="38"/>
      <c r="C471" s="38"/>
      <c r="D471" s="38"/>
      <c r="E471" s="38"/>
      <c r="F471" s="38"/>
      <c r="G471" s="39"/>
      <c r="H471" s="45"/>
      <c r="I471" s="39"/>
      <c r="J471" s="39"/>
      <c r="K471" s="38"/>
      <c r="L471" s="42"/>
      <c r="M471" s="43"/>
      <c r="N471" s="38"/>
      <c r="O471" s="38"/>
      <c r="P471" s="38"/>
    </row>
    <row r="472" spans="1:16" x14ac:dyDescent="0.25">
      <c r="A472" s="25"/>
      <c r="B472" s="38"/>
      <c r="C472" s="38"/>
      <c r="D472" s="38"/>
      <c r="E472" s="38"/>
      <c r="F472" s="38"/>
      <c r="G472" s="39"/>
      <c r="H472" s="45"/>
      <c r="I472" s="39"/>
      <c r="J472" s="39"/>
      <c r="K472" s="38"/>
      <c r="L472" s="42"/>
      <c r="M472" s="43"/>
      <c r="N472" s="38"/>
      <c r="O472" s="38"/>
      <c r="P472" s="38"/>
    </row>
    <row r="473" spans="1:16" x14ac:dyDescent="0.25">
      <c r="A473" s="25"/>
      <c r="B473" s="38"/>
      <c r="C473" s="38"/>
      <c r="D473" s="38"/>
      <c r="E473" s="38"/>
      <c r="F473" s="38"/>
      <c r="G473" s="39"/>
      <c r="H473" s="45"/>
      <c r="I473" s="39"/>
      <c r="J473" s="39"/>
      <c r="K473" s="38"/>
      <c r="L473" s="42"/>
      <c r="M473" s="43"/>
      <c r="N473" s="38"/>
      <c r="O473" s="38"/>
      <c r="P473" s="38"/>
    </row>
    <row r="474" spans="1:16" x14ac:dyDescent="0.25">
      <c r="A474" s="25"/>
      <c r="B474" s="38"/>
      <c r="C474" s="38"/>
      <c r="D474" s="38"/>
      <c r="E474" s="38"/>
      <c r="F474" s="38"/>
      <c r="G474" s="39"/>
      <c r="H474" s="45"/>
      <c r="I474" s="39"/>
      <c r="J474" s="39"/>
      <c r="K474" s="38"/>
      <c r="L474" s="42"/>
      <c r="M474" s="43"/>
      <c r="N474" s="38"/>
      <c r="O474" s="38"/>
      <c r="P474" s="38"/>
    </row>
    <row r="475" spans="1:16" x14ac:dyDescent="0.25">
      <c r="A475" s="25"/>
      <c r="B475" s="38"/>
      <c r="C475" s="38"/>
      <c r="D475" s="38"/>
      <c r="E475" s="38"/>
      <c r="F475" s="38"/>
      <c r="G475" s="39"/>
      <c r="H475" s="45"/>
      <c r="I475" s="39"/>
      <c r="J475" s="39"/>
      <c r="K475" s="38"/>
      <c r="L475" s="42"/>
      <c r="M475" s="43"/>
      <c r="N475" s="38"/>
      <c r="O475" s="38"/>
      <c r="P475" s="38"/>
    </row>
    <row r="476" spans="1:16" x14ac:dyDescent="0.25">
      <c r="A476" s="25"/>
      <c r="B476" s="38"/>
      <c r="C476" s="38"/>
      <c r="D476" s="38"/>
      <c r="E476" s="38"/>
      <c r="F476" s="38"/>
      <c r="G476" s="39"/>
      <c r="H476" s="45"/>
      <c r="I476" s="39"/>
      <c r="J476" s="39"/>
      <c r="K476" s="38"/>
      <c r="L476" s="42"/>
      <c r="M476" s="43"/>
      <c r="N476" s="38"/>
      <c r="O476" s="38"/>
      <c r="P476" s="38"/>
    </row>
    <row r="477" spans="1:16" x14ac:dyDescent="0.25">
      <c r="A477" s="25"/>
      <c r="B477" s="38"/>
      <c r="C477" s="38"/>
      <c r="D477" s="38"/>
      <c r="E477" s="38"/>
      <c r="F477" s="38"/>
      <c r="G477" s="39"/>
      <c r="H477" s="45"/>
      <c r="I477" s="39"/>
      <c r="J477" s="39"/>
      <c r="K477" s="38"/>
      <c r="L477" s="42"/>
      <c r="M477" s="43"/>
      <c r="N477" s="38"/>
      <c r="O477" s="38"/>
      <c r="P477" s="38"/>
    </row>
    <row r="478" spans="1:16" x14ac:dyDescent="0.25">
      <c r="A478" s="25"/>
      <c r="B478" s="38"/>
      <c r="C478" s="38"/>
      <c r="D478" s="38"/>
      <c r="E478" s="38"/>
      <c r="F478" s="38"/>
      <c r="G478" s="39"/>
      <c r="H478" s="45"/>
      <c r="I478" s="39"/>
      <c r="J478" s="39"/>
      <c r="K478" s="38"/>
      <c r="L478" s="42"/>
      <c r="M478" s="43"/>
      <c r="N478" s="38"/>
      <c r="O478" s="38"/>
      <c r="P478" s="38"/>
    </row>
    <row r="479" spans="1:16" x14ac:dyDescent="0.25">
      <c r="A479" s="25"/>
      <c r="B479" s="38"/>
      <c r="C479" s="38"/>
      <c r="D479" s="38"/>
      <c r="E479" s="38"/>
      <c r="F479" s="38"/>
      <c r="G479" s="39"/>
      <c r="H479" s="45"/>
      <c r="I479" s="39"/>
      <c r="J479" s="39"/>
      <c r="K479" s="38"/>
      <c r="L479" s="42"/>
      <c r="M479" s="43"/>
      <c r="N479" s="38"/>
      <c r="O479" s="38"/>
      <c r="P479" s="38"/>
    </row>
    <row r="480" spans="1:16" x14ac:dyDescent="0.25">
      <c r="A480" s="25"/>
      <c r="B480" s="38"/>
      <c r="C480" s="38"/>
      <c r="D480" s="38"/>
      <c r="E480" s="38"/>
      <c r="F480" s="38"/>
      <c r="G480" s="39"/>
      <c r="H480" s="45"/>
      <c r="I480" s="39"/>
      <c r="J480" s="39"/>
      <c r="K480" s="38"/>
      <c r="L480" s="42"/>
      <c r="M480" s="43"/>
      <c r="N480" s="38"/>
      <c r="O480" s="38"/>
      <c r="P480" s="38"/>
    </row>
    <row r="481" spans="1:16" x14ac:dyDescent="0.25">
      <c r="A481" s="25"/>
      <c r="B481" s="38"/>
      <c r="C481" s="38"/>
      <c r="D481" s="38"/>
      <c r="E481" s="38"/>
      <c r="F481" s="38"/>
      <c r="G481" s="39"/>
      <c r="H481" s="45"/>
      <c r="I481" s="39"/>
      <c r="J481" s="39"/>
      <c r="K481" s="38"/>
      <c r="L481" s="42"/>
      <c r="M481" s="43"/>
      <c r="N481" s="38"/>
      <c r="O481" s="38"/>
      <c r="P481" s="38"/>
    </row>
    <row r="482" spans="1:16" x14ac:dyDescent="0.25">
      <c r="A482" s="25"/>
      <c r="B482" s="38"/>
      <c r="C482" s="38"/>
      <c r="D482" s="38"/>
      <c r="E482" s="38"/>
      <c r="F482" s="38"/>
      <c r="G482" s="39"/>
      <c r="H482" s="45"/>
      <c r="I482" s="39"/>
      <c r="J482" s="39"/>
      <c r="K482" s="38"/>
      <c r="L482" s="42"/>
      <c r="M482" s="43"/>
      <c r="N482" s="38"/>
      <c r="O482" s="38"/>
      <c r="P482" s="38"/>
    </row>
    <row r="483" spans="1:16" x14ac:dyDescent="0.25">
      <c r="A483" s="25"/>
      <c r="B483" s="38"/>
      <c r="C483" s="38"/>
      <c r="D483" s="38"/>
      <c r="E483" s="38"/>
      <c r="F483" s="38"/>
      <c r="G483" s="39"/>
      <c r="H483" s="45"/>
      <c r="I483" s="39"/>
      <c r="J483" s="39"/>
      <c r="K483" s="38"/>
      <c r="L483" s="42"/>
      <c r="M483" s="43"/>
      <c r="N483" s="38"/>
      <c r="O483" s="38"/>
      <c r="P483" s="38"/>
    </row>
    <row r="484" spans="1:16" x14ac:dyDescent="0.25">
      <c r="A484" s="25"/>
      <c r="B484" s="38"/>
      <c r="C484" s="38"/>
      <c r="D484" s="38"/>
      <c r="E484" s="38"/>
      <c r="F484" s="38"/>
      <c r="G484" s="39"/>
      <c r="H484" s="45"/>
      <c r="I484" s="39"/>
      <c r="J484" s="39"/>
      <c r="K484" s="38"/>
      <c r="L484" s="42"/>
      <c r="M484" s="43"/>
      <c r="N484" s="38"/>
      <c r="O484" s="38"/>
      <c r="P484" s="38"/>
    </row>
    <row r="485" spans="1:16" x14ac:dyDescent="0.25">
      <c r="A485" s="25"/>
      <c r="B485" s="38"/>
      <c r="C485" s="38"/>
      <c r="D485" s="38"/>
      <c r="E485" s="38"/>
      <c r="F485" s="38"/>
      <c r="G485" s="39"/>
      <c r="H485" s="45"/>
      <c r="I485" s="39"/>
      <c r="J485" s="39"/>
      <c r="K485" s="38"/>
      <c r="L485" s="42"/>
      <c r="M485" s="43"/>
      <c r="N485" s="38"/>
      <c r="O485" s="38"/>
      <c r="P485" s="38"/>
    </row>
    <row r="486" spans="1:16" x14ac:dyDescent="0.25">
      <c r="A486" s="25"/>
      <c r="B486" s="38"/>
      <c r="C486" s="38"/>
      <c r="D486" s="38"/>
      <c r="E486" s="38"/>
      <c r="F486" s="38"/>
      <c r="G486" s="39"/>
      <c r="H486" s="45"/>
      <c r="I486" s="39"/>
      <c r="J486" s="39"/>
      <c r="K486" s="38"/>
      <c r="L486" s="42"/>
      <c r="M486" s="43"/>
      <c r="N486" s="38"/>
      <c r="O486" s="38"/>
      <c r="P486" s="38"/>
    </row>
    <row r="487" spans="1:16" x14ac:dyDescent="0.25">
      <c r="A487" s="25"/>
      <c r="B487" s="38"/>
      <c r="C487" s="38"/>
      <c r="D487" s="38"/>
      <c r="E487" s="38"/>
      <c r="F487" s="38"/>
      <c r="G487" s="39"/>
      <c r="H487" s="45"/>
      <c r="I487" s="39"/>
      <c r="J487" s="39"/>
      <c r="K487" s="38"/>
      <c r="L487" s="42"/>
      <c r="M487" s="43"/>
      <c r="N487" s="38"/>
      <c r="O487" s="38"/>
      <c r="P487" s="38"/>
    </row>
    <row r="488" spans="1:16" x14ac:dyDescent="0.25">
      <c r="A488" s="25"/>
      <c r="B488" s="38"/>
      <c r="C488" s="38"/>
      <c r="D488" s="38"/>
      <c r="E488" s="38"/>
      <c r="F488" s="38"/>
      <c r="G488" s="39"/>
      <c r="H488" s="45"/>
      <c r="I488" s="39"/>
      <c r="J488" s="39"/>
      <c r="K488" s="38"/>
      <c r="L488" s="42"/>
      <c r="M488" s="43"/>
      <c r="N488" s="38"/>
      <c r="O488" s="38"/>
      <c r="P488" s="38"/>
    </row>
    <row r="489" spans="1:16" x14ac:dyDescent="0.25">
      <c r="A489" s="25"/>
      <c r="B489" s="38"/>
      <c r="C489" s="38"/>
      <c r="D489" s="38"/>
      <c r="E489" s="38"/>
      <c r="F489" s="38"/>
      <c r="G489" s="39"/>
      <c r="H489" s="45"/>
      <c r="I489" s="39"/>
      <c r="J489" s="39"/>
      <c r="K489" s="38"/>
      <c r="L489" s="42"/>
      <c r="M489" s="43"/>
      <c r="N489" s="38"/>
      <c r="O489" s="38"/>
      <c r="P489" s="38"/>
    </row>
    <row r="490" spans="1:16" x14ac:dyDescent="0.25">
      <c r="A490" s="25"/>
      <c r="B490" s="38"/>
      <c r="C490" s="38"/>
      <c r="D490" s="38"/>
      <c r="E490" s="38"/>
      <c r="F490" s="38"/>
      <c r="G490" s="39"/>
      <c r="H490" s="45"/>
      <c r="I490" s="39"/>
      <c r="J490" s="39"/>
      <c r="K490" s="38"/>
      <c r="L490" s="42"/>
      <c r="M490" s="43"/>
      <c r="N490" s="38"/>
      <c r="O490" s="38"/>
      <c r="P490" s="38"/>
    </row>
    <row r="491" spans="1:16" x14ac:dyDescent="0.25">
      <c r="A491" s="25"/>
      <c r="B491" s="38"/>
      <c r="C491" s="38"/>
      <c r="D491" s="38"/>
      <c r="E491" s="38"/>
      <c r="F491" s="38"/>
      <c r="G491" s="39"/>
      <c r="H491" s="45"/>
      <c r="I491" s="39"/>
      <c r="J491" s="39"/>
      <c r="K491" s="38"/>
      <c r="L491" s="42"/>
      <c r="M491" s="43"/>
      <c r="N491" s="38"/>
      <c r="O491" s="38"/>
      <c r="P491" s="38"/>
    </row>
    <row r="492" spans="1:16" x14ac:dyDescent="0.25">
      <c r="A492" s="25"/>
      <c r="B492" s="38"/>
      <c r="C492" s="38"/>
      <c r="D492" s="38"/>
      <c r="E492" s="38"/>
      <c r="F492" s="38"/>
      <c r="G492" s="39"/>
      <c r="H492" s="45"/>
      <c r="I492" s="39"/>
      <c r="J492" s="39"/>
      <c r="K492" s="38"/>
      <c r="L492" s="42"/>
      <c r="M492" s="43"/>
      <c r="N492" s="38"/>
      <c r="O492" s="38"/>
      <c r="P492" s="38"/>
    </row>
    <row r="493" spans="1:16" x14ac:dyDescent="0.25">
      <c r="A493" s="25"/>
      <c r="B493" s="38"/>
      <c r="C493" s="38"/>
      <c r="D493" s="38"/>
      <c r="E493" s="38"/>
      <c r="F493" s="38"/>
      <c r="G493" s="39"/>
      <c r="H493" s="45"/>
      <c r="I493" s="39"/>
      <c r="J493" s="39"/>
      <c r="K493" s="38"/>
      <c r="L493" s="42"/>
      <c r="M493" s="43"/>
      <c r="N493" s="38"/>
      <c r="O493" s="38"/>
      <c r="P493" s="38"/>
    </row>
    <row r="494" spans="1:16" x14ac:dyDescent="0.25">
      <c r="A494" s="25"/>
      <c r="B494" s="38"/>
      <c r="C494" s="38"/>
      <c r="D494" s="38"/>
      <c r="E494" s="38"/>
      <c r="F494" s="38"/>
      <c r="G494" s="39"/>
      <c r="H494" s="45"/>
      <c r="I494" s="39"/>
      <c r="J494" s="39"/>
      <c r="K494" s="38"/>
      <c r="L494" s="42"/>
      <c r="M494" s="43"/>
      <c r="N494" s="38"/>
      <c r="O494" s="38"/>
      <c r="P494" s="38"/>
    </row>
    <row r="495" spans="1:16" x14ac:dyDescent="0.25">
      <c r="A495" s="25"/>
      <c r="B495" s="38"/>
      <c r="C495" s="38"/>
      <c r="D495" s="38"/>
      <c r="E495" s="38"/>
      <c r="F495" s="38"/>
      <c r="G495" s="39"/>
      <c r="H495" s="45"/>
      <c r="I495" s="39"/>
      <c r="J495" s="39"/>
      <c r="K495" s="38"/>
      <c r="L495" s="42"/>
      <c r="M495" s="43"/>
      <c r="N495" s="38"/>
      <c r="O495" s="38"/>
      <c r="P495" s="38"/>
    </row>
    <row r="496" spans="1:16" x14ac:dyDescent="0.25">
      <c r="A496" s="25"/>
      <c r="B496" s="38"/>
      <c r="C496" s="38"/>
      <c r="D496" s="38"/>
      <c r="E496" s="38"/>
      <c r="F496" s="38"/>
      <c r="G496" s="39"/>
      <c r="H496" s="45"/>
      <c r="I496" s="39"/>
      <c r="J496" s="39"/>
      <c r="K496" s="38"/>
      <c r="L496" s="42"/>
      <c r="M496" s="43"/>
      <c r="N496" s="38"/>
      <c r="O496" s="38"/>
      <c r="P496" s="38"/>
    </row>
    <row r="497" spans="1:16" x14ac:dyDescent="0.25">
      <c r="A497" s="25"/>
      <c r="B497" s="38"/>
      <c r="C497" s="38"/>
      <c r="D497" s="38"/>
      <c r="E497" s="38"/>
      <c r="F497" s="38"/>
      <c r="G497" s="39"/>
      <c r="H497" s="45"/>
      <c r="I497" s="39"/>
      <c r="J497" s="39"/>
      <c r="K497" s="38"/>
      <c r="L497" s="42"/>
      <c r="M497" s="43"/>
      <c r="N497" s="38"/>
      <c r="O497" s="38"/>
      <c r="P497" s="38"/>
    </row>
    <row r="498" spans="1:16" x14ac:dyDescent="0.25">
      <c r="A498" s="25"/>
      <c r="B498" s="38"/>
      <c r="C498" s="38"/>
      <c r="D498" s="38"/>
      <c r="E498" s="38"/>
      <c r="F498" s="38"/>
      <c r="G498" s="39"/>
      <c r="H498" s="45"/>
      <c r="I498" s="39"/>
      <c r="J498" s="39"/>
      <c r="K498" s="38"/>
      <c r="L498" s="42"/>
      <c r="M498" s="43"/>
      <c r="N498" s="38"/>
      <c r="O498" s="38"/>
      <c r="P498" s="38"/>
    </row>
    <row r="499" spans="1:16" x14ac:dyDescent="0.25">
      <c r="A499" s="25"/>
      <c r="B499" s="38"/>
      <c r="C499" s="38"/>
      <c r="D499" s="38"/>
      <c r="E499" s="38"/>
      <c r="F499" s="38"/>
      <c r="G499" s="39"/>
      <c r="H499" s="45"/>
      <c r="I499" s="39"/>
      <c r="J499" s="39"/>
      <c r="K499" s="38"/>
      <c r="L499" s="42"/>
      <c r="M499" s="43"/>
      <c r="N499" s="38"/>
      <c r="O499" s="38"/>
      <c r="P499" s="38"/>
    </row>
    <row r="500" spans="1:16" x14ac:dyDescent="0.25">
      <c r="A500" s="25"/>
      <c r="B500" s="38"/>
      <c r="C500" s="38"/>
      <c r="D500" s="38"/>
      <c r="E500" s="38"/>
      <c r="F500" s="38"/>
      <c r="G500" s="39"/>
      <c r="H500" s="45"/>
      <c r="I500" s="39"/>
      <c r="J500" s="39"/>
      <c r="K500" s="38"/>
      <c r="L500" s="42"/>
      <c r="M500" s="43"/>
      <c r="N500" s="38"/>
      <c r="O500" s="38"/>
      <c r="P500" s="38"/>
    </row>
    <row r="501" spans="1:16" x14ac:dyDescent="0.25">
      <c r="A501" s="25"/>
      <c r="B501" s="38"/>
      <c r="C501" s="38"/>
      <c r="D501" s="38"/>
      <c r="E501" s="38"/>
      <c r="F501" s="38"/>
      <c r="G501" s="39"/>
      <c r="H501" s="45"/>
      <c r="I501" s="39"/>
      <c r="J501" s="39"/>
      <c r="K501" s="38"/>
      <c r="L501" s="42"/>
      <c r="M501" s="43"/>
      <c r="N501" s="38"/>
      <c r="O501" s="38"/>
      <c r="P501" s="38"/>
    </row>
    <row r="502" spans="1:16" x14ac:dyDescent="0.25">
      <c r="A502" s="25"/>
      <c r="B502" s="38"/>
      <c r="C502" s="38"/>
      <c r="D502" s="38"/>
      <c r="E502" s="38"/>
      <c r="F502" s="38"/>
      <c r="G502" s="39"/>
      <c r="H502" s="45"/>
      <c r="I502" s="39"/>
      <c r="J502" s="39"/>
      <c r="K502" s="38"/>
      <c r="L502" s="42"/>
      <c r="M502" s="43"/>
      <c r="N502" s="38"/>
      <c r="O502" s="38"/>
      <c r="P502" s="38"/>
    </row>
    <row r="503" spans="1:16" x14ac:dyDescent="0.25">
      <c r="A503" s="25"/>
      <c r="B503" s="38"/>
      <c r="C503" s="38"/>
      <c r="D503" s="38"/>
      <c r="E503" s="38"/>
      <c r="F503" s="38"/>
      <c r="G503" s="39"/>
      <c r="H503" s="45"/>
      <c r="I503" s="39"/>
      <c r="J503" s="39"/>
      <c r="K503" s="38"/>
      <c r="L503" s="42"/>
      <c r="M503" s="43"/>
      <c r="N503" s="38"/>
      <c r="O503" s="38"/>
      <c r="P503" s="38"/>
    </row>
    <row r="504" spans="1:16" x14ac:dyDescent="0.25">
      <c r="A504" s="25"/>
      <c r="B504" s="38"/>
      <c r="C504" s="38"/>
      <c r="D504" s="38"/>
      <c r="E504" s="38"/>
      <c r="F504" s="38"/>
      <c r="G504" s="39"/>
      <c r="H504" s="45"/>
      <c r="I504" s="39"/>
      <c r="J504" s="39"/>
      <c r="K504" s="38"/>
      <c r="L504" s="42"/>
      <c r="M504" s="43"/>
      <c r="N504" s="38"/>
      <c r="O504" s="38"/>
      <c r="P504" s="38"/>
    </row>
    <row r="505" spans="1:16" x14ac:dyDescent="0.25">
      <c r="A505" s="25"/>
      <c r="B505" s="38"/>
      <c r="C505" s="38"/>
      <c r="D505" s="38"/>
      <c r="E505" s="38"/>
      <c r="F505" s="38"/>
      <c r="G505" s="39"/>
      <c r="H505" s="45"/>
      <c r="I505" s="39"/>
      <c r="J505" s="39"/>
      <c r="K505" s="38"/>
      <c r="L505" s="42"/>
      <c r="M505" s="43"/>
      <c r="N505" s="38"/>
      <c r="O505" s="38"/>
      <c r="P505" s="38"/>
    </row>
    <row r="506" spans="1:16" x14ac:dyDescent="0.25">
      <c r="A506" s="25"/>
      <c r="B506" s="38"/>
      <c r="C506" s="38"/>
      <c r="D506" s="38"/>
      <c r="E506" s="38"/>
      <c r="F506" s="38"/>
      <c r="G506" s="39"/>
      <c r="H506" s="45"/>
      <c r="I506" s="39"/>
      <c r="J506" s="39"/>
      <c r="K506" s="38"/>
      <c r="L506" s="42"/>
      <c r="M506" s="43"/>
      <c r="N506" s="38"/>
      <c r="O506" s="38"/>
      <c r="P506" s="38"/>
    </row>
    <row r="507" spans="1:16" x14ac:dyDescent="0.25">
      <c r="A507" s="25"/>
      <c r="B507" s="38"/>
      <c r="C507" s="38"/>
      <c r="D507" s="38"/>
      <c r="E507" s="38"/>
      <c r="F507" s="38"/>
      <c r="G507" s="39"/>
      <c r="H507" s="45"/>
      <c r="I507" s="39"/>
      <c r="J507" s="39"/>
      <c r="K507" s="38"/>
      <c r="L507" s="42"/>
      <c r="M507" s="43"/>
      <c r="N507" s="38"/>
      <c r="O507" s="38"/>
      <c r="P507" s="38"/>
    </row>
    <row r="508" spans="1:16" x14ac:dyDescent="0.25">
      <c r="A508" s="25"/>
      <c r="B508" s="38"/>
      <c r="C508" s="38"/>
      <c r="D508" s="38"/>
      <c r="E508" s="38"/>
      <c r="F508" s="38"/>
      <c r="G508" s="39"/>
      <c r="H508" s="45"/>
      <c r="I508" s="39"/>
      <c r="J508" s="39"/>
      <c r="K508" s="38"/>
      <c r="L508" s="42"/>
      <c r="M508" s="43"/>
      <c r="N508" s="38"/>
      <c r="O508" s="38"/>
      <c r="P508" s="38"/>
    </row>
    <row r="509" spans="1:16" x14ac:dyDescent="0.25">
      <c r="A509" s="25"/>
      <c r="B509" s="38"/>
      <c r="C509" s="38"/>
      <c r="D509" s="38"/>
      <c r="E509" s="38"/>
      <c r="F509" s="38"/>
      <c r="G509" s="39"/>
      <c r="H509" s="45"/>
      <c r="I509" s="39"/>
      <c r="J509" s="39"/>
      <c r="K509" s="38"/>
      <c r="L509" s="42"/>
      <c r="M509" s="43"/>
      <c r="N509" s="38"/>
      <c r="O509" s="38"/>
      <c r="P509" s="38"/>
    </row>
    <row r="510" spans="1:16" x14ac:dyDescent="0.25">
      <c r="A510" s="25"/>
      <c r="B510" s="38"/>
      <c r="C510" s="38"/>
      <c r="D510" s="38"/>
      <c r="E510" s="38"/>
      <c r="F510" s="38"/>
      <c r="G510" s="39"/>
      <c r="H510" s="45"/>
      <c r="I510" s="39"/>
      <c r="J510" s="39"/>
      <c r="K510" s="38"/>
      <c r="L510" s="42"/>
      <c r="M510" s="43"/>
      <c r="N510" s="38"/>
      <c r="O510" s="38"/>
      <c r="P510" s="38"/>
    </row>
    <row r="511" spans="1:16" x14ac:dyDescent="0.25">
      <c r="A511" s="25"/>
      <c r="B511" s="38"/>
      <c r="C511" s="38"/>
      <c r="D511" s="38"/>
      <c r="E511" s="38"/>
      <c r="F511" s="38"/>
      <c r="G511" s="39"/>
      <c r="H511" s="45"/>
      <c r="I511" s="39"/>
      <c r="J511" s="39"/>
      <c r="K511" s="38"/>
      <c r="L511" s="42"/>
      <c r="M511" s="43"/>
      <c r="N511" s="38"/>
      <c r="O511" s="38"/>
      <c r="P511" s="38"/>
    </row>
    <row r="512" spans="1:16" x14ac:dyDescent="0.25">
      <c r="A512" s="25"/>
      <c r="B512" s="38"/>
      <c r="C512" s="38"/>
      <c r="D512" s="38"/>
      <c r="E512" s="38"/>
      <c r="F512" s="38"/>
      <c r="G512" s="39"/>
      <c r="H512" s="45"/>
      <c r="I512" s="39"/>
      <c r="J512" s="39"/>
      <c r="K512" s="38"/>
      <c r="L512" s="42"/>
      <c r="M512" s="43"/>
      <c r="N512" s="38"/>
      <c r="O512" s="38"/>
      <c r="P512" s="38"/>
    </row>
    <row r="513" spans="1:16" ht="15.75" thickBot="1" x14ac:dyDescent="0.3">
      <c r="A513" s="32"/>
      <c r="B513" s="38"/>
      <c r="C513" s="38"/>
      <c r="D513" s="38"/>
      <c r="E513" s="38"/>
      <c r="F513" s="38"/>
      <c r="G513" s="39"/>
      <c r="H513" s="45"/>
      <c r="I513" s="39"/>
      <c r="J513" s="39"/>
      <c r="K513" s="38"/>
      <c r="L513" s="42"/>
      <c r="M513" s="43"/>
      <c r="N513" s="38"/>
      <c r="O513" s="38"/>
      <c r="P513" s="38"/>
    </row>
  </sheetData>
  <conditionalFormatting sqref="L2:L1048576">
    <cfRule type="containsText" dxfId="158" priority="139" operator="containsText" text="Complete">
      <formula>NOT(ISERROR(SEARCH("Complete",L2)))</formula>
    </cfRule>
    <cfRule type="containsText" dxfId="157" priority="140" operator="containsText" text="InProgress">
      <formula>NOT(ISERROR(SEARCH("InProgress",L2)))</formula>
    </cfRule>
    <cfRule type="containsText" dxfId="156" priority="141" operator="containsText" text="Undone">
      <formula>NOT(ISERROR(SEARCH("Undone",L2)))</formula>
    </cfRule>
  </conditionalFormatting>
  <conditionalFormatting sqref="O2:O1048576">
    <cfRule type="containsText" dxfId="155" priority="136" operator="containsText" text="No">
      <formula>NOT(ISERROR(SEARCH("No",O2)))</formula>
    </cfRule>
    <cfRule type="containsText" dxfId="154" priority="137" operator="containsText" text="Yes">
      <formula>NOT(ISERROR(SEARCH("Yes",O2)))</formula>
    </cfRule>
    <cfRule type="containsText" dxfId="153" priority="138" operator="containsText" text="Yes">
      <formula>NOT(ISERROR(SEARCH("Yes",O2)))</formula>
    </cfRule>
  </conditionalFormatting>
  <conditionalFormatting sqref="C225">
    <cfRule type="containsText" dxfId="152" priority="124" operator="containsText" text="Complete">
      <formula>NOT(ISERROR(SEARCH("Complete",C225)))</formula>
    </cfRule>
    <cfRule type="containsText" dxfId="151" priority="125" operator="containsText" text="InProgress">
      <formula>NOT(ISERROR(SEARCH("InProgress",C225)))</formula>
    </cfRule>
    <cfRule type="containsText" dxfId="150" priority="126" operator="containsText" text="Undone">
      <formula>NOT(ISERROR(SEARCH("Undone",C225)))</formula>
    </cfRule>
  </conditionalFormatting>
  <conditionalFormatting sqref="C224">
    <cfRule type="containsText" dxfId="149" priority="121" operator="containsText" text="Complete">
      <formula>NOT(ISERROR(SEARCH("Complete",C224)))</formula>
    </cfRule>
    <cfRule type="containsText" dxfId="148" priority="122" operator="containsText" text="InProgress">
      <formula>NOT(ISERROR(SEARCH("InProgress",C224)))</formula>
    </cfRule>
    <cfRule type="containsText" dxfId="147" priority="123" operator="containsText" text="Undone">
      <formula>NOT(ISERROR(SEARCH("Undone",C224)))</formula>
    </cfRule>
  </conditionalFormatting>
  <conditionalFormatting sqref="C223">
    <cfRule type="containsText" dxfId="146" priority="118" operator="containsText" text="Complete">
      <formula>NOT(ISERROR(SEARCH("Complete",C223)))</formula>
    </cfRule>
    <cfRule type="containsText" dxfId="145" priority="119" operator="containsText" text="InProgress">
      <formula>NOT(ISERROR(SEARCH("InProgress",C223)))</formula>
    </cfRule>
    <cfRule type="containsText" dxfId="144" priority="120" operator="containsText" text="Undone">
      <formula>NOT(ISERROR(SEARCH("Undone",C223)))</formula>
    </cfRule>
  </conditionalFormatting>
  <conditionalFormatting sqref="C222">
    <cfRule type="containsText" dxfId="143" priority="115" operator="containsText" text="Complete">
      <formula>NOT(ISERROR(SEARCH("Complete",C222)))</formula>
    </cfRule>
    <cfRule type="containsText" dxfId="142" priority="116" operator="containsText" text="InProgress">
      <formula>NOT(ISERROR(SEARCH("InProgress",C222)))</formula>
    </cfRule>
    <cfRule type="containsText" dxfId="141" priority="117" operator="containsText" text="Undone">
      <formula>NOT(ISERROR(SEARCH("Undone",C222)))</formula>
    </cfRule>
  </conditionalFormatting>
  <conditionalFormatting sqref="C221">
    <cfRule type="containsText" dxfId="140" priority="112" operator="containsText" text="Complete">
      <formula>NOT(ISERROR(SEARCH("Complete",C221)))</formula>
    </cfRule>
    <cfRule type="containsText" dxfId="139" priority="113" operator="containsText" text="InProgress">
      <formula>NOT(ISERROR(SEARCH("InProgress",C221)))</formula>
    </cfRule>
    <cfRule type="containsText" dxfId="138" priority="114" operator="containsText" text="Undone">
      <formula>NOT(ISERROR(SEARCH("Undone",C221)))</formula>
    </cfRule>
  </conditionalFormatting>
  <conditionalFormatting sqref="C220">
    <cfRule type="containsText" dxfId="137" priority="109" operator="containsText" text="Complete">
      <formula>NOT(ISERROR(SEARCH("Complete",C220)))</formula>
    </cfRule>
    <cfRule type="containsText" dxfId="136" priority="110" operator="containsText" text="InProgress">
      <formula>NOT(ISERROR(SEARCH("InProgress",C220)))</formula>
    </cfRule>
    <cfRule type="containsText" dxfId="135" priority="111" operator="containsText" text="Undone">
      <formula>NOT(ISERROR(SEARCH("Undone",C220)))</formula>
    </cfRule>
  </conditionalFormatting>
  <conditionalFormatting sqref="C219">
    <cfRule type="containsText" dxfId="134" priority="106" operator="containsText" text="Complete">
      <formula>NOT(ISERROR(SEARCH("Complete",C219)))</formula>
    </cfRule>
    <cfRule type="containsText" dxfId="133" priority="107" operator="containsText" text="InProgress">
      <formula>NOT(ISERROR(SEARCH("InProgress",C219)))</formula>
    </cfRule>
    <cfRule type="containsText" dxfId="132" priority="108" operator="containsText" text="Undone">
      <formula>NOT(ISERROR(SEARCH("Undone",C219)))</formula>
    </cfRule>
  </conditionalFormatting>
  <conditionalFormatting sqref="C218">
    <cfRule type="containsText" dxfId="131" priority="103" operator="containsText" text="Complete">
      <formula>NOT(ISERROR(SEARCH("Complete",C218)))</formula>
    </cfRule>
    <cfRule type="containsText" dxfId="130" priority="104" operator="containsText" text="InProgress">
      <formula>NOT(ISERROR(SEARCH("InProgress",C218)))</formula>
    </cfRule>
    <cfRule type="containsText" dxfId="129" priority="105" operator="containsText" text="Undone">
      <formula>NOT(ISERROR(SEARCH("Undone",C218)))</formula>
    </cfRule>
  </conditionalFormatting>
  <conditionalFormatting sqref="C217">
    <cfRule type="containsText" dxfId="128" priority="100" operator="containsText" text="Complete">
      <formula>NOT(ISERROR(SEARCH("Complete",C217)))</formula>
    </cfRule>
    <cfRule type="containsText" dxfId="127" priority="101" operator="containsText" text="InProgress">
      <formula>NOT(ISERROR(SEARCH("InProgress",C217)))</formula>
    </cfRule>
    <cfRule type="containsText" dxfId="126" priority="102" operator="containsText" text="Undone">
      <formula>NOT(ISERROR(SEARCH("Undone",C217)))</formula>
    </cfRule>
  </conditionalFormatting>
  <conditionalFormatting sqref="C216">
    <cfRule type="containsText" dxfId="125" priority="97" operator="containsText" text="Complete">
      <formula>NOT(ISERROR(SEARCH("Complete",C216)))</formula>
    </cfRule>
    <cfRule type="containsText" dxfId="124" priority="98" operator="containsText" text="InProgress">
      <formula>NOT(ISERROR(SEARCH("InProgress",C216)))</formula>
    </cfRule>
    <cfRule type="containsText" dxfId="123" priority="99" operator="containsText" text="Undone">
      <formula>NOT(ISERROR(SEARCH("Undone",C216)))</formula>
    </cfRule>
  </conditionalFormatting>
  <conditionalFormatting sqref="C215">
    <cfRule type="containsText" dxfId="122" priority="94" operator="containsText" text="Complete">
      <formula>NOT(ISERROR(SEARCH("Complete",C215)))</formula>
    </cfRule>
    <cfRule type="containsText" dxfId="121" priority="95" operator="containsText" text="InProgress">
      <formula>NOT(ISERROR(SEARCH("InProgress",C215)))</formula>
    </cfRule>
    <cfRule type="containsText" dxfId="120" priority="96" operator="containsText" text="Undone">
      <formula>NOT(ISERROR(SEARCH("Undone",C215)))</formula>
    </cfRule>
  </conditionalFormatting>
  <conditionalFormatting sqref="C214">
    <cfRule type="containsText" dxfId="119" priority="91" operator="containsText" text="Complete">
      <formula>NOT(ISERROR(SEARCH("Complete",C214)))</formula>
    </cfRule>
    <cfRule type="containsText" dxfId="118" priority="92" operator="containsText" text="InProgress">
      <formula>NOT(ISERROR(SEARCH("InProgress",C214)))</formula>
    </cfRule>
    <cfRule type="containsText" dxfId="117" priority="93" operator="containsText" text="Undone">
      <formula>NOT(ISERROR(SEARCH("Undone",C214)))</formula>
    </cfRule>
  </conditionalFormatting>
  <conditionalFormatting sqref="C213">
    <cfRule type="containsText" dxfId="116" priority="88" operator="containsText" text="Complete">
      <formula>NOT(ISERROR(SEARCH("Complete",C213)))</formula>
    </cfRule>
    <cfRule type="containsText" dxfId="115" priority="89" operator="containsText" text="InProgress">
      <formula>NOT(ISERROR(SEARCH("InProgress",C213)))</formula>
    </cfRule>
    <cfRule type="containsText" dxfId="114" priority="90" operator="containsText" text="Undone">
      <formula>NOT(ISERROR(SEARCH("Undone",C213)))</formula>
    </cfRule>
  </conditionalFormatting>
  <conditionalFormatting sqref="C212">
    <cfRule type="containsText" dxfId="113" priority="85" operator="containsText" text="Complete">
      <formula>NOT(ISERROR(SEARCH("Complete",C212)))</formula>
    </cfRule>
    <cfRule type="containsText" dxfId="112" priority="86" operator="containsText" text="InProgress">
      <formula>NOT(ISERROR(SEARCH("InProgress",C212)))</formula>
    </cfRule>
    <cfRule type="containsText" dxfId="111" priority="87" operator="containsText" text="Undone">
      <formula>NOT(ISERROR(SEARCH("Undone",C212)))</formula>
    </cfRule>
  </conditionalFormatting>
  <conditionalFormatting sqref="C211">
    <cfRule type="containsText" dxfId="110" priority="82" operator="containsText" text="Complete">
      <formula>NOT(ISERROR(SEARCH("Complete",C211)))</formula>
    </cfRule>
    <cfRule type="containsText" dxfId="109" priority="83" operator="containsText" text="InProgress">
      <formula>NOT(ISERROR(SEARCH("InProgress",C211)))</formula>
    </cfRule>
    <cfRule type="containsText" dxfId="108" priority="84" operator="containsText" text="Undone">
      <formula>NOT(ISERROR(SEARCH("Undone",C211)))</formula>
    </cfRule>
  </conditionalFormatting>
  <conditionalFormatting sqref="C210">
    <cfRule type="containsText" dxfId="107" priority="79" operator="containsText" text="Complete">
      <formula>NOT(ISERROR(SEARCH("Complete",C210)))</formula>
    </cfRule>
    <cfRule type="containsText" dxfId="106" priority="80" operator="containsText" text="InProgress">
      <formula>NOT(ISERROR(SEARCH("InProgress",C210)))</formula>
    </cfRule>
    <cfRule type="containsText" dxfId="105" priority="81" operator="containsText" text="Undone">
      <formula>NOT(ISERROR(SEARCH("Undone",C210)))</formula>
    </cfRule>
  </conditionalFormatting>
  <conditionalFormatting sqref="C209">
    <cfRule type="containsText" dxfId="104" priority="76" operator="containsText" text="Complete">
      <formula>NOT(ISERROR(SEARCH("Complete",C209)))</formula>
    </cfRule>
    <cfRule type="containsText" dxfId="103" priority="77" operator="containsText" text="InProgress">
      <formula>NOT(ISERROR(SEARCH("InProgress",C209)))</formula>
    </cfRule>
    <cfRule type="containsText" dxfId="102" priority="78" operator="containsText" text="Undone">
      <formula>NOT(ISERROR(SEARCH("Undone",C209)))</formula>
    </cfRule>
  </conditionalFormatting>
  <conditionalFormatting sqref="C208">
    <cfRule type="containsText" dxfId="101" priority="73" operator="containsText" text="Complete">
      <formula>NOT(ISERROR(SEARCH("Complete",C208)))</formula>
    </cfRule>
    <cfRule type="containsText" dxfId="100" priority="74" operator="containsText" text="InProgress">
      <formula>NOT(ISERROR(SEARCH("InProgress",C208)))</formula>
    </cfRule>
    <cfRule type="containsText" dxfId="99" priority="75" operator="containsText" text="Undone">
      <formula>NOT(ISERROR(SEARCH("Undone",C208)))</formula>
    </cfRule>
  </conditionalFormatting>
  <conditionalFormatting sqref="C207">
    <cfRule type="containsText" dxfId="98" priority="70" operator="containsText" text="Complete">
      <formula>NOT(ISERROR(SEARCH("Complete",C207)))</formula>
    </cfRule>
    <cfRule type="containsText" dxfId="97" priority="71" operator="containsText" text="InProgress">
      <formula>NOT(ISERROR(SEARCH("InProgress",C207)))</formula>
    </cfRule>
    <cfRule type="containsText" dxfId="96" priority="72" operator="containsText" text="Undone">
      <formula>NOT(ISERROR(SEARCH("Undone",C207)))</formula>
    </cfRule>
  </conditionalFormatting>
  <conditionalFormatting sqref="C206">
    <cfRule type="containsText" dxfId="95" priority="67" operator="containsText" text="Complete">
      <formula>NOT(ISERROR(SEARCH("Complete",C206)))</formula>
    </cfRule>
    <cfRule type="containsText" dxfId="94" priority="68" operator="containsText" text="InProgress">
      <formula>NOT(ISERROR(SEARCH("InProgress",C206)))</formula>
    </cfRule>
    <cfRule type="containsText" dxfId="93" priority="69" operator="containsText" text="Undone">
      <formula>NOT(ISERROR(SEARCH("Undone",C206)))</formula>
    </cfRule>
  </conditionalFormatting>
  <conditionalFormatting sqref="C205">
    <cfRule type="containsText" dxfId="92" priority="64" operator="containsText" text="Complete">
      <formula>NOT(ISERROR(SEARCH("Complete",C205)))</formula>
    </cfRule>
    <cfRule type="containsText" dxfId="91" priority="65" operator="containsText" text="InProgress">
      <formula>NOT(ISERROR(SEARCH("InProgress",C205)))</formula>
    </cfRule>
    <cfRule type="containsText" dxfId="90" priority="66" operator="containsText" text="Undone">
      <formula>NOT(ISERROR(SEARCH("Undone",C205)))</formula>
    </cfRule>
  </conditionalFormatting>
  <conditionalFormatting sqref="C204">
    <cfRule type="containsText" dxfId="89" priority="61" operator="containsText" text="Complete">
      <formula>NOT(ISERROR(SEARCH("Complete",C204)))</formula>
    </cfRule>
    <cfRule type="containsText" dxfId="88" priority="62" operator="containsText" text="InProgress">
      <formula>NOT(ISERROR(SEARCH("InProgress",C204)))</formula>
    </cfRule>
    <cfRule type="containsText" dxfId="87" priority="63" operator="containsText" text="Undone">
      <formula>NOT(ISERROR(SEARCH("Undone",C204)))</formula>
    </cfRule>
  </conditionalFormatting>
  <conditionalFormatting sqref="C203">
    <cfRule type="containsText" dxfId="86" priority="58" operator="containsText" text="Complete">
      <formula>NOT(ISERROR(SEARCH("Complete",C203)))</formula>
    </cfRule>
    <cfRule type="containsText" dxfId="85" priority="59" operator="containsText" text="InProgress">
      <formula>NOT(ISERROR(SEARCH("InProgress",C203)))</formula>
    </cfRule>
    <cfRule type="containsText" dxfId="84" priority="60" operator="containsText" text="Undone">
      <formula>NOT(ISERROR(SEARCH("Undone",C203)))</formula>
    </cfRule>
  </conditionalFormatting>
  <conditionalFormatting sqref="C202">
    <cfRule type="containsText" dxfId="83" priority="55" operator="containsText" text="Complete">
      <formula>NOT(ISERROR(SEARCH("Complete",C202)))</formula>
    </cfRule>
    <cfRule type="containsText" dxfId="82" priority="56" operator="containsText" text="InProgress">
      <formula>NOT(ISERROR(SEARCH("InProgress",C202)))</formula>
    </cfRule>
    <cfRule type="containsText" dxfId="81" priority="57" operator="containsText" text="Undone">
      <formula>NOT(ISERROR(SEARCH("Undone",C202)))</formula>
    </cfRule>
  </conditionalFormatting>
  <conditionalFormatting sqref="C201">
    <cfRule type="containsText" dxfId="80" priority="52" operator="containsText" text="Complete">
      <formula>NOT(ISERROR(SEARCH("Complete",C201)))</formula>
    </cfRule>
    <cfRule type="containsText" dxfId="79" priority="53" operator="containsText" text="InProgress">
      <formula>NOT(ISERROR(SEARCH("InProgress",C201)))</formula>
    </cfRule>
    <cfRule type="containsText" dxfId="78" priority="54" operator="containsText" text="Undone">
      <formula>NOT(ISERROR(SEARCH("Undone",C201)))</formula>
    </cfRule>
  </conditionalFormatting>
  <conditionalFormatting sqref="C200">
    <cfRule type="containsText" dxfId="77" priority="49" operator="containsText" text="Complete">
      <formula>NOT(ISERROR(SEARCH("Complete",C200)))</formula>
    </cfRule>
    <cfRule type="containsText" dxfId="76" priority="50" operator="containsText" text="InProgress">
      <formula>NOT(ISERROR(SEARCH("InProgress",C200)))</formula>
    </cfRule>
    <cfRule type="containsText" dxfId="75" priority="51" operator="containsText" text="Undone">
      <formula>NOT(ISERROR(SEARCH("Undone",C200)))</formula>
    </cfRule>
  </conditionalFormatting>
  <conditionalFormatting sqref="C199">
    <cfRule type="containsText" dxfId="74" priority="46" operator="containsText" text="Complete">
      <formula>NOT(ISERROR(SEARCH("Complete",C199)))</formula>
    </cfRule>
    <cfRule type="containsText" dxfId="73" priority="47" operator="containsText" text="InProgress">
      <formula>NOT(ISERROR(SEARCH("InProgress",C199)))</formula>
    </cfRule>
    <cfRule type="containsText" dxfId="72" priority="48" operator="containsText" text="Undone">
      <formula>NOT(ISERROR(SEARCH("Undone",C199)))</formula>
    </cfRule>
  </conditionalFormatting>
  <conditionalFormatting sqref="C198">
    <cfRule type="containsText" dxfId="71" priority="43" operator="containsText" text="Complete">
      <formula>NOT(ISERROR(SEARCH("Complete",C198)))</formula>
    </cfRule>
    <cfRule type="containsText" dxfId="70" priority="44" operator="containsText" text="InProgress">
      <formula>NOT(ISERROR(SEARCH("InProgress",C198)))</formula>
    </cfRule>
    <cfRule type="containsText" dxfId="69" priority="45" operator="containsText" text="Undone">
      <formula>NOT(ISERROR(SEARCH("Undone",C198)))</formula>
    </cfRule>
  </conditionalFormatting>
  <conditionalFormatting sqref="C197">
    <cfRule type="containsText" dxfId="68" priority="40" operator="containsText" text="Complete">
      <formula>NOT(ISERROR(SEARCH("Complete",C197)))</formula>
    </cfRule>
    <cfRule type="containsText" dxfId="67" priority="41" operator="containsText" text="InProgress">
      <formula>NOT(ISERROR(SEARCH("InProgress",C197)))</formula>
    </cfRule>
    <cfRule type="containsText" dxfId="66" priority="42" operator="containsText" text="Undone">
      <formula>NOT(ISERROR(SEARCH("Undone",C197)))</formula>
    </cfRule>
  </conditionalFormatting>
  <conditionalFormatting sqref="C196">
    <cfRule type="containsText" dxfId="65" priority="37" operator="containsText" text="Complete">
      <formula>NOT(ISERROR(SEARCH("Complete",C196)))</formula>
    </cfRule>
    <cfRule type="containsText" dxfId="64" priority="38" operator="containsText" text="InProgress">
      <formula>NOT(ISERROR(SEARCH("InProgress",C196)))</formula>
    </cfRule>
    <cfRule type="containsText" dxfId="63" priority="39" operator="containsText" text="Undone">
      <formula>NOT(ISERROR(SEARCH("Undone",C196)))</formula>
    </cfRule>
  </conditionalFormatting>
  <conditionalFormatting sqref="C195">
    <cfRule type="containsText" dxfId="62" priority="34" operator="containsText" text="Complete">
      <formula>NOT(ISERROR(SEARCH("Complete",C195)))</formula>
    </cfRule>
    <cfRule type="containsText" dxfId="61" priority="35" operator="containsText" text="InProgress">
      <formula>NOT(ISERROR(SEARCH("InProgress",C195)))</formula>
    </cfRule>
    <cfRule type="containsText" dxfId="60" priority="36" operator="containsText" text="Undone">
      <formula>NOT(ISERROR(SEARCH("Undone",C195)))</formula>
    </cfRule>
  </conditionalFormatting>
  <conditionalFormatting sqref="C194">
    <cfRule type="containsText" dxfId="59" priority="31" operator="containsText" text="Complete">
      <formula>NOT(ISERROR(SEARCH("Complete",C194)))</formula>
    </cfRule>
    <cfRule type="containsText" dxfId="58" priority="32" operator="containsText" text="InProgress">
      <formula>NOT(ISERROR(SEARCH("InProgress",C194)))</formula>
    </cfRule>
    <cfRule type="containsText" dxfId="57" priority="33" operator="containsText" text="Undone">
      <formula>NOT(ISERROR(SEARCH("Undone",C194)))</formula>
    </cfRule>
  </conditionalFormatting>
  <conditionalFormatting sqref="C193">
    <cfRule type="containsText" dxfId="56" priority="28" operator="containsText" text="Complete">
      <formula>NOT(ISERROR(SEARCH("Complete",C193)))</formula>
    </cfRule>
    <cfRule type="containsText" dxfId="55" priority="29" operator="containsText" text="InProgress">
      <formula>NOT(ISERROR(SEARCH("InProgress",C193)))</formula>
    </cfRule>
    <cfRule type="containsText" dxfId="54" priority="30" operator="containsText" text="Undone">
      <formula>NOT(ISERROR(SEARCH("Undone",C193)))</formula>
    </cfRule>
  </conditionalFormatting>
  <conditionalFormatting sqref="C192">
    <cfRule type="containsText" dxfId="53" priority="25" operator="containsText" text="Complete">
      <formula>NOT(ISERROR(SEARCH("Complete",C192)))</formula>
    </cfRule>
    <cfRule type="containsText" dxfId="52" priority="26" operator="containsText" text="InProgress">
      <formula>NOT(ISERROR(SEARCH("InProgress",C192)))</formula>
    </cfRule>
    <cfRule type="containsText" dxfId="51" priority="27" operator="containsText" text="Undone">
      <formula>NOT(ISERROR(SEARCH("Undone",C192)))</formula>
    </cfRule>
  </conditionalFormatting>
  <conditionalFormatting sqref="C191">
    <cfRule type="containsText" dxfId="50" priority="22" operator="containsText" text="Complete">
      <formula>NOT(ISERROR(SEARCH("Complete",C191)))</formula>
    </cfRule>
    <cfRule type="containsText" dxfId="49" priority="23" operator="containsText" text="InProgress">
      <formula>NOT(ISERROR(SEARCH("InProgress",C191)))</formula>
    </cfRule>
    <cfRule type="containsText" dxfId="48" priority="24" operator="containsText" text="Undone">
      <formula>NOT(ISERROR(SEARCH("Undone",C191)))</formula>
    </cfRule>
  </conditionalFormatting>
  <conditionalFormatting sqref="C190">
    <cfRule type="containsText" dxfId="47" priority="19" operator="containsText" text="Complete">
      <formula>NOT(ISERROR(SEARCH("Complete",C190)))</formula>
    </cfRule>
    <cfRule type="containsText" dxfId="46" priority="20" operator="containsText" text="InProgress">
      <formula>NOT(ISERROR(SEARCH("InProgress",C190)))</formula>
    </cfRule>
    <cfRule type="containsText" dxfId="45" priority="21" operator="containsText" text="Undone">
      <formula>NOT(ISERROR(SEARCH("Undone",C190)))</formula>
    </cfRule>
  </conditionalFormatting>
  <conditionalFormatting sqref="C189">
    <cfRule type="containsText" dxfId="44" priority="16" operator="containsText" text="Complete">
      <formula>NOT(ISERROR(SEARCH("Complete",C189)))</formula>
    </cfRule>
    <cfRule type="containsText" dxfId="43" priority="17" operator="containsText" text="InProgress">
      <formula>NOT(ISERROR(SEARCH("InProgress",C189)))</formula>
    </cfRule>
    <cfRule type="containsText" dxfId="42" priority="18" operator="containsText" text="Undone">
      <formula>NOT(ISERROR(SEARCH("Undone",C189)))</formula>
    </cfRule>
  </conditionalFormatting>
  <conditionalFormatting sqref="C188">
    <cfRule type="containsText" dxfId="41" priority="13" operator="containsText" text="Complete">
      <formula>NOT(ISERROR(SEARCH("Complete",C188)))</formula>
    </cfRule>
    <cfRule type="containsText" dxfId="40" priority="14" operator="containsText" text="InProgress">
      <formula>NOT(ISERROR(SEARCH("InProgress",C188)))</formula>
    </cfRule>
    <cfRule type="containsText" dxfId="39" priority="15" operator="containsText" text="Undone">
      <formula>NOT(ISERROR(SEARCH("Undone",C188)))</formula>
    </cfRule>
  </conditionalFormatting>
  <conditionalFormatting sqref="C187">
    <cfRule type="containsText" dxfId="38" priority="10" operator="containsText" text="Complete">
      <formula>NOT(ISERROR(SEARCH("Complete",C187)))</formula>
    </cfRule>
    <cfRule type="containsText" dxfId="37" priority="11" operator="containsText" text="InProgress">
      <formula>NOT(ISERROR(SEARCH("InProgress",C187)))</formula>
    </cfRule>
    <cfRule type="containsText" dxfId="36" priority="12" operator="containsText" text="Undone">
      <formula>NOT(ISERROR(SEARCH("Undone",C187)))</formula>
    </cfRule>
  </conditionalFormatting>
  <conditionalFormatting sqref="C186">
    <cfRule type="containsText" dxfId="35" priority="1" operator="containsText" text="Complete">
      <formula>NOT(ISERROR(SEARCH("Complete",C186)))</formula>
    </cfRule>
    <cfRule type="containsText" dxfId="34" priority="2" operator="containsText" text="InProgress">
      <formula>NOT(ISERROR(SEARCH("InProgress",C186)))</formula>
    </cfRule>
    <cfRule type="containsText" dxfId="33" priority="3" operator="containsText" text="Undone">
      <formula>NOT(ISERROR(SEARCH("Undone",C186)))</formula>
    </cfRule>
  </conditionalFormatting>
  <dataValidations count="3">
    <dataValidation type="list" allowBlank="1" showInputMessage="1" showErrorMessage="1" sqref="N1:N2 N4:N6 N9:N1048576 M1:M1048576" xr:uid="{282FDE92-A9AF-4AB6-BD31-6F3463188129}">
      <formula1>INDIRECT($L1)</formula1>
    </dataValidation>
    <dataValidation type="list" allowBlank="1" showInputMessage="1" showErrorMessage="1" sqref="N8" xr:uid="{5523995F-2DF0-422C-ABC1-C9BE74979CE3}">
      <formula1>INDIRECT($L7)</formula1>
    </dataValidation>
    <dataValidation type="list" allowBlank="1" showInputMessage="1" showErrorMessage="1" sqref="L1:L1048576 C186:C225" xr:uid="{0F2CFE1A-7DF7-468B-A34B-B76DC69C8995}">
      <formula1>$T$4:$V$4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BD4D656-F06C-4CE4-AAF6-A8280DAA08A8}">
          <x14:formula1>
            <xm:f>Civil_Summary!$M$26:$M$29</xm:f>
          </x14:formula1>
          <xm:sqref>E1:E185 E226:E1048576 B186:B225</xm:sqref>
        </x14:dataValidation>
        <x14:dataValidation type="list" allowBlank="1" showInputMessage="1" showErrorMessage="1" xr:uid="{72CE4017-5B21-476B-B317-833EA2225481}">
          <x14:formula1>
            <xm:f>Civil_Summary!$F$4:$F$10</xm:f>
          </x14:formula1>
          <xm:sqref>C226:C1048576 C1:C185</xm:sqref>
        </x14:dataValidation>
        <x14:dataValidation type="list" allowBlank="1" showInputMessage="1" showErrorMessage="1" xr:uid="{2947D8C1-5D75-427C-B82C-3126D4A9B8B0}">
          <x14:formula1>
            <xm:f>Civil_Summary!$B$5:$B$6</xm:f>
          </x14:formula1>
          <xm:sqref>O1:O1048576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633DA-E089-4988-9067-BDFA6DB1C296}">
  <sheetPr codeName="Sheet3"/>
  <dimension ref="B3:R32"/>
  <sheetViews>
    <sheetView zoomScale="70" zoomScaleNormal="70" workbookViewId="0">
      <selection activeCell="J13" sqref="J13"/>
    </sheetView>
  </sheetViews>
  <sheetFormatPr defaultColWidth="9.28515625" defaultRowHeight="15" x14ac:dyDescent="0.25"/>
  <cols>
    <col min="1" max="1" width="9.140625"/>
    <col min="2" max="2" width="16.140625" bestFit="1" customWidth="1"/>
    <col min="3" max="3" width="8.5703125" bestFit="1" customWidth="1"/>
    <col min="4" max="4" width="8.42578125" bestFit="1" customWidth="1"/>
    <col min="5" max="5" width="12" bestFit="1" customWidth="1"/>
    <col min="6" max="6" width="24.42578125" bestFit="1" customWidth="1"/>
    <col min="7" max="7" width="8.5703125" bestFit="1" customWidth="1"/>
    <col min="8" max="8" width="13.42578125" bestFit="1" customWidth="1"/>
    <col min="9" max="10" width="13.42578125" customWidth="1"/>
    <col min="11" max="12" width="9.42578125" customWidth="1"/>
    <col min="13" max="13" width="10.42578125" bestFit="1" customWidth="1"/>
    <col min="14" max="14" width="13.5703125" bestFit="1" customWidth="1"/>
    <col min="15" max="15" width="12" bestFit="1" customWidth="1"/>
    <col min="16" max="16" width="10.42578125" bestFit="1" customWidth="1"/>
    <col min="17" max="17" width="13.5703125" bestFit="1" customWidth="1"/>
    <col min="18" max="18" width="20.140625" bestFit="1" customWidth="1"/>
    <col min="20" max="20" width="13.5703125" bestFit="1" customWidth="1"/>
    <col min="21" max="21" width="20.140625" bestFit="1" customWidth="1"/>
  </cols>
  <sheetData>
    <row r="3" spans="2:18" x14ac:dyDescent="0.25">
      <c r="B3" s="6" t="s">
        <v>25</v>
      </c>
      <c r="F3" t="s">
        <v>1</v>
      </c>
      <c r="G3" t="s">
        <v>21</v>
      </c>
      <c r="H3" t="s">
        <v>14</v>
      </c>
      <c r="I3" t="s">
        <v>69</v>
      </c>
      <c r="J3" t="s">
        <v>94</v>
      </c>
      <c r="K3" t="s">
        <v>95</v>
      </c>
      <c r="M3" s="1" t="s">
        <v>12</v>
      </c>
      <c r="N3" s="1" t="s">
        <v>55</v>
      </c>
      <c r="O3" s="1" t="s">
        <v>13</v>
      </c>
      <c r="Q3" t="s">
        <v>55</v>
      </c>
      <c r="R3" t="s">
        <v>56</v>
      </c>
    </row>
    <row r="4" spans="2:18" x14ac:dyDescent="0.25">
      <c r="B4" s="1" t="s">
        <v>6</v>
      </c>
      <c r="C4" s="1" t="s">
        <v>18</v>
      </c>
      <c r="F4" s="1" t="s">
        <v>7</v>
      </c>
      <c r="G4">
        <f>COUNTIF(Civil_Data!C:C,Table1812[[#This Row],[Structure_Type]])</f>
        <v>7</v>
      </c>
      <c r="H4" s="4">
        <f>Table1812[[#This Row],[Count]]/(COUNTA(Civil_Data!C:C)-1)*100</f>
        <v>33.333333333333329</v>
      </c>
      <c r="I4" s="4">
        <f>COUNTIFS(Civil_Data!C:C,Table1812[[#This Row],[Structure_Type]],Civil_Data!L:L,"Complete")</f>
        <v>0</v>
      </c>
      <c r="J4" s="4">
        <f>SUMIFS(Civil_Data!F:F,Civil_Data!C:C,F4)</f>
        <v>29</v>
      </c>
      <c r="K4" s="4">
        <f>SUMIFS(Civil_Data!K:K,Civil_Data!C:C,F4,Civil_Data!L:L,"Complete")</f>
        <v>0</v>
      </c>
      <c r="M4">
        <v>0</v>
      </c>
      <c r="N4">
        <v>10</v>
      </c>
      <c r="O4">
        <v>100</v>
      </c>
      <c r="Q4" s="7">
        <v>10</v>
      </c>
      <c r="R4">
        <f>COUNTIF(Civil_Data!M:M,Table51014[[#This Row],[InProgress]])</f>
        <v>0</v>
      </c>
    </row>
    <row r="5" spans="2:18" x14ac:dyDescent="0.25">
      <c r="B5" t="s">
        <v>16</v>
      </c>
      <c r="C5" s="7">
        <f>COUNTIF(Civil_Data!O:O,"Yes")/(COUNTA(Civil_Data!O:O)-1)*100</f>
        <v>90</v>
      </c>
      <c r="F5" s="1" t="s">
        <v>8</v>
      </c>
      <c r="G5">
        <f>COUNTIF(Civil_Data!C:C,Table1812[[#This Row],[Structure_Type]])</f>
        <v>2</v>
      </c>
      <c r="H5" s="4">
        <f>Table1812[[#This Row],[Count]]/(COUNTA(Civil_Data!C:C)-1)*100</f>
        <v>9.5238095238095237</v>
      </c>
      <c r="I5" s="4">
        <f>COUNTIFS(Civil_Data!C:C,Table1812[[#This Row],[Structure_Type]],Civil_Data!L:L,"Complete")</f>
        <v>0</v>
      </c>
      <c r="J5" s="4">
        <f>SUMIFS(Civil_Data!F:F,Civil_Data!C:C,F5)</f>
        <v>7</v>
      </c>
      <c r="K5" s="4">
        <f>SUMIFS(Civil_Data!K:K,Civil_Data!C:C,F5,Civil_Data!L:L,"Complete")</f>
        <v>0</v>
      </c>
      <c r="N5">
        <v>20</v>
      </c>
      <c r="Q5" s="7">
        <v>20</v>
      </c>
      <c r="R5">
        <f>COUNTIF(Civil_Data!M:M,Table51014[[#This Row],[InProgress]])</f>
        <v>0</v>
      </c>
    </row>
    <row r="6" spans="2:18" x14ac:dyDescent="0.25">
      <c r="B6" t="s">
        <v>17</v>
      </c>
      <c r="C6" s="7">
        <f>COUNTIF(Civil_Data!O:O,"No")/(COUNTA(Civil_Data!O:O)-1)*100</f>
        <v>10</v>
      </c>
      <c r="F6" s="1" t="s">
        <v>19</v>
      </c>
      <c r="G6">
        <f>COUNTIF(Civil_Data!C:C,Table1812[[#This Row],[Structure_Type]])</f>
        <v>5</v>
      </c>
      <c r="H6" s="4">
        <f>Table1812[[#This Row],[Count]]/(COUNTA(Civil_Data!C:C)-1)*100</f>
        <v>23.809523809523807</v>
      </c>
      <c r="I6" s="4">
        <f>COUNTIFS(Civil_Data!C:C,Table1812[[#This Row],[Structure_Type]],Civil_Data!L:L,"Complete")</f>
        <v>1</v>
      </c>
      <c r="J6" s="4">
        <f>SUMIFS(Civil_Data!F:F,Civil_Data!C:C,F6)</f>
        <v>20</v>
      </c>
      <c r="K6" s="4">
        <f ca="1">SUMIFS(Civil_Data!K:K,Civil_Data!C:C,F6,Civil_Data!L:L,"Complete")</f>
        <v>1.4825472221709788</v>
      </c>
      <c r="N6">
        <v>30</v>
      </c>
      <c r="Q6" s="7">
        <v>30</v>
      </c>
      <c r="R6">
        <f>COUNTIF(Civil_Data!M:M,Table51014[[#This Row],[InProgress]])</f>
        <v>1</v>
      </c>
    </row>
    <row r="7" spans="2:18" x14ac:dyDescent="0.25">
      <c r="F7" s="1" t="s">
        <v>70</v>
      </c>
      <c r="G7">
        <f>COUNTIF(Civil_Data!C:C,Table1812[[#This Row],[Structure_Type]])</f>
        <v>2</v>
      </c>
      <c r="H7" s="4">
        <f>Table1812[[#This Row],[Count]]/(COUNTA(Civil_Data!C:C)-1)*100</f>
        <v>9.5238095238095237</v>
      </c>
      <c r="I7" s="4">
        <f>COUNTIFS(Civil_Data!C:C,Table1812[[#This Row],[Structure_Type]],Civil_Data!L:L,"Complete")</f>
        <v>0</v>
      </c>
      <c r="J7" s="4">
        <f>SUMIFS(Civil_Data!F:F,Civil_Data!C:C,F7)</f>
        <v>5</v>
      </c>
      <c r="K7" s="4">
        <f>SUMIFS(Civil_Data!K:K,Civil_Data!C:C,F7,Civil_Data!L:L,"Complete")</f>
        <v>0</v>
      </c>
      <c r="N7">
        <v>40</v>
      </c>
      <c r="Q7" s="7">
        <v>40</v>
      </c>
      <c r="R7">
        <f>COUNTIF(Civil_Data!M:M,Table51014[[#This Row],[InProgress]])</f>
        <v>1</v>
      </c>
    </row>
    <row r="8" spans="2:18" x14ac:dyDescent="0.25">
      <c r="F8" s="1" t="s">
        <v>20</v>
      </c>
      <c r="G8">
        <f>COUNTIF(Civil_Data!C:C,Table1812[[#This Row],[Structure_Type]])</f>
        <v>1</v>
      </c>
      <c r="H8" s="4">
        <f>Table1812[[#This Row],[Count]]/(COUNTA(Civil_Data!C:C)-1)*100</f>
        <v>4.7619047619047619</v>
      </c>
      <c r="I8" s="4">
        <f>COUNTIFS(Civil_Data!C:C,Table1812[[#This Row],[Structure_Type]],Civil_Data!L:L,"Complete")</f>
        <v>0</v>
      </c>
      <c r="J8" s="4">
        <f>SUMIFS(Civil_Data!F:F,Civil_Data!C:C,F8)</f>
        <v>2</v>
      </c>
      <c r="K8" s="4">
        <f>SUMIFS(Civil_Data!K:K,Civil_Data!C:C,F8,Civil_Data!L:L,"Complete")</f>
        <v>0</v>
      </c>
      <c r="N8">
        <v>50</v>
      </c>
      <c r="Q8" s="7">
        <v>50</v>
      </c>
      <c r="R8">
        <f>COUNTIF(Civil_Data!M:M,Table51014[[#This Row],[InProgress]])</f>
        <v>0</v>
      </c>
    </row>
    <row r="9" spans="2:18" x14ac:dyDescent="0.25">
      <c r="B9" s="5"/>
      <c r="F9" s="1" t="s">
        <v>9</v>
      </c>
      <c r="G9">
        <f>COUNTIF(Civil_Data!C:C,Table1812[[#This Row],[Structure_Type]])</f>
        <v>2</v>
      </c>
      <c r="H9" s="4">
        <f>Table1812[[#This Row],[Count]]/(COUNTA(Civil_Data!C:C)-1)*100</f>
        <v>9.5238095238095237</v>
      </c>
      <c r="I9" s="4">
        <f>COUNTIFS(Civil_Data!C:C,Table1812[[#This Row],[Structure_Type]],Civil_Data!L:L,"Complete")</f>
        <v>1</v>
      </c>
      <c r="J9" s="4">
        <f>SUMIFS(Civil_Data!F:F,Civil_Data!C:C,F9)</f>
        <v>17</v>
      </c>
      <c r="K9" s="4">
        <f ca="1">SUMIFS(Civil_Data!K:K,Civil_Data!C:C,F9,Civil_Data!L:L,"Complete")</f>
        <v>1.3122500001336448</v>
      </c>
      <c r="N9">
        <v>60</v>
      </c>
      <c r="Q9" s="7">
        <v>60</v>
      </c>
      <c r="R9">
        <f>COUNTIF(Civil_Data!M:M,Table51014[[#This Row],[InProgress]])</f>
        <v>0</v>
      </c>
    </row>
    <row r="10" spans="2:18" x14ac:dyDescent="0.25">
      <c r="F10" s="1" t="s">
        <v>10</v>
      </c>
      <c r="G10">
        <f>COUNTIF(Civil_Data!C:C,Table1812[[#This Row],[Structure_Type]])</f>
        <v>2</v>
      </c>
      <c r="H10" s="4">
        <f>Table1812[[#This Row],[Count]]/(COUNTA(Civil_Data!C:C)-1)*100</f>
        <v>9.5238095238095237</v>
      </c>
      <c r="I10" s="4">
        <f>COUNTIFS(Civil_Data!C:C,Table1812[[#This Row],[Structure_Type]],Civil_Data!L:L,"Complete")</f>
        <v>1</v>
      </c>
      <c r="J10" s="4">
        <f>SUMIFS(Civil_Data!F:F,Civil_Data!C:C,F10)</f>
        <v>13</v>
      </c>
      <c r="K10" s="4">
        <f ca="1">SUMIFS(Civil_Data!K:K,Civil_Data!C:C,F10,Civil_Data!L:L,"Complete")</f>
        <v>1.3125</v>
      </c>
      <c r="N10">
        <v>70</v>
      </c>
      <c r="Q10" s="7">
        <v>70</v>
      </c>
      <c r="R10">
        <f>COUNTIF(Civil_Data!M:M,Table51014[[#This Row],[InProgress]])</f>
        <v>0</v>
      </c>
    </row>
    <row r="11" spans="2:18" x14ac:dyDescent="0.25">
      <c r="F11" s="1" t="s">
        <v>15</v>
      </c>
      <c r="G11">
        <f>SUBTOTAL(109,Table1812[Count])</f>
        <v>21</v>
      </c>
      <c r="H11" s="4">
        <f>SUBTOTAL(109,Table1812[%_Progress])</f>
        <v>99.999999999999972</v>
      </c>
      <c r="I11" s="4">
        <f>SUBTOTAL(109,Table1812[Task_Completed])</f>
        <v>3</v>
      </c>
      <c r="J11" s="4">
        <f>SUBTOTAL(109,Table1812[hours_planned])</f>
        <v>93</v>
      </c>
      <c r="K11" s="4">
        <f ca="1">SUBTOTAL(109,Table1812[Hours_earned])</f>
        <v>4.1072972223046236</v>
      </c>
      <c r="N11">
        <v>80</v>
      </c>
      <c r="Q11" s="7">
        <v>80</v>
      </c>
      <c r="R11">
        <f>COUNTIF(Civil_Data!M:M,Table51014[[#This Row],[InProgress]])</f>
        <v>0</v>
      </c>
    </row>
    <row r="12" spans="2:18" x14ac:dyDescent="0.25">
      <c r="G12">
        <f>Table1812[[#Totals],[Count]]</f>
        <v>21</v>
      </c>
      <c r="H12" s="4"/>
      <c r="I12" s="4">
        <f>Table1812[[#Totals],[Task_Completed]]</f>
        <v>3</v>
      </c>
      <c r="J12" s="4">
        <f>Table1812[[#Totals],[hours_planned]]</f>
        <v>93</v>
      </c>
      <c r="K12" s="4">
        <f ca="1">Table1812[[#Totals],[Hours_earned]]</f>
        <v>4.1072972223046236</v>
      </c>
      <c r="N12">
        <v>90</v>
      </c>
      <c r="Q12" s="7">
        <v>90</v>
      </c>
      <c r="R12">
        <f>COUNTIF(Civil_Data!M:M,Table51014[[#This Row],[InProgress]])</f>
        <v>0</v>
      </c>
    </row>
    <row r="13" spans="2:18" x14ac:dyDescent="0.25">
      <c r="H13" s="4"/>
      <c r="I13" s="4"/>
      <c r="J13" s="4"/>
      <c r="M13" s="1" t="s">
        <v>21</v>
      </c>
    </row>
    <row r="14" spans="2:18" x14ac:dyDescent="0.25">
      <c r="H14" s="4"/>
      <c r="I14" s="4"/>
      <c r="J14" s="4"/>
      <c r="M14">
        <f>COUNTIF(Civil_Data!$L:$L,Table2913[[#Headers],[Undone]])</f>
        <v>23</v>
      </c>
      <c r="N14">
        <f>COUNTIF(Civil_Data!$L:$L,Table2913[[#Headers],[InProgress]])</f>
        <v>2</v>
      </c>
      <c r="O14">
        <f>COUNTIF(Civil_Data!$L:$L,Table2913[[#Headers],[Complete]])</f>
        <v>3</v>
      </c>
    </row>
    <row r="15" spans="2:18" x14ac:dyDescent="0.25">
      <c r="F15" s="1" t="s">
        <v>29</v>
      </c>
      <c r="H15" s="4"/>
      <c r="I15" s="4"/>
      <c r="J15" s="4"/>
      <c r="M15" s="1" t="s">
        <v>30</v>
      </c>
    </row>
    <row r="16" spans="2:18" x14ac:dyDescent="0.25">
      <c r="F16" s="8">
        <f>AVERAGE(Civil_Data!M:M)</f>
        <v>30.833333333333332</v>
      </c>
      <c r="H16" s="4"/>
      <c r="I16" s="4"/>
      <c r="J16" s="4"/>
      <c r="M16" s="7">
        <f>Table2913[[#Totals],[Undone]]/SUM(Table2913[#Totals])*100</f>
        <v>82.142857142857139</v>
      </c>
      <c r="N16" s="7">
        <f>Table2913[[#Totals],[InProgress]]/SUM(Table2913[#Totals])*100</f>
        <v>7.1428571428571423</v>
      </c>
      <c r="O16" s="7">
        <f>Table2913[[#Totals],[Complete]]/SUM(Table2913[#Totals])*100</f>
        <v>10.714285714285714</v>
      </c>
    </row>
    <row r="17" spans="6:18" x14ac:dyDescent="0.25">
      <c r="F17" s="8">
        <f>100 - F16</f>
        <v>69.166666666666671</v>
      </c>
      <c r="G17" s="1"/>
      <c r="H17" s="1"/>
      <c r="I17" s="1"/>
      <c r="J17" s="1"/>
    </row>
    <row r="18" spans="6:18" x14ac:dyDescent="0.25">
      <c r="I18">
        <f>SUMIFS(Civil_Data!F:F,Civil_Data!D:D,Civil_Summary!F4)</f>
        <v>0</v>
      </c>
    </row>
    <row r="24" spans="6:18" x14ac:dyDescent="0.25">
      <c r="M24" s="5" t="s">
        <v>3</v>
      </c>
    </row>
    <row r="25" spans="6:18" x14ac:dyDescent="0.25">
      <c r="F25" t="str">
        <f ca="1">Civil_Data!U19 &amp; "/" &amp; Civil_Data!U20</f>
        <v>162/267</v>
      </c>
      <c r="M25" s="1" t="s">
        <v>3</v>
      </c>
      <c r="N25" s="1" t="s">
        <v>58</v>
      </c>
      <c r="O25" s="1" t="s">
        <v>54</v>
      </c>
      <c r="P25" s="1" t="s">
        <v>62</v>
      </c>
      <c r="Q25" s="1" t="s">
        <v>57</v>
      </c>
      <c r="R25" s="1" t="s">
        <v>61</v>
      </c>
    </row>
    <row r="26" spans="6:18" x14ac:dyDescent="0.25">
      <c r="M26" t="s">
        <v>32</v>
      </c>
      <c r="N26">
        <f>COUNTIF(Civil_Data!E:E,Owner[[#This Row],[Owner]])</f>
        <v>9</v>
      </c>
      <c r="O26">
        <f>COUNTIFS(Civil_Data!L:L,"Complete",Civil_Data!E:E,M26)</f>
        <v>1</v>
      </c>
      <c r="P26" s="18">
        <f ca="1">SUMIF(Civil_Data!E:E,M26,Civil_Data!K:K)</f>
        <v>1.4825472221709788</v>
      </c>
      <c r="Q26">
        <f>SUMIF(Civil_Data!E:E,M26,Civil_Data!F:F)</f>
        <v>21</v>
      </c>
      <c r="R26" s="17">
        <f ca="1">Owner[[#This Row],[Hours_spent]]/Civil_Summary!$P$30</f>
        <v>0.3706368055427447</v>
      </c>
    </row>
    <row r="27" spans="6:18" x14ac:dyDescent="0.25">
      <c r="M27" t="s">
        <v>22</v>
      </c>
      <c r="N27">
        <f>COUNTIF(Civil_Data!E:E,Owner[[#This Row],[Owner]])</f>
        <v>3</v>
      </c>
      <c r="O27">
        <f>COUNTIFS(Civil_Data!L:L,"Complete",Civil_Data!E:E,M27)</f>
        <v>1</v>
      </c>
      <c r="P27" s="18">
        <f ca="1">SUMIF(Civil_Data!E:E,M27,Civil_Data!K:K)</f>
        <v>1.3125</v>
      </c>
      <c r="Q27">
        <f>SUMIF(Civil_Data!E:E,M27,Civil_Data!F:F)</f>
        <v>19</v>
      </c>
      <c r="R27" s="17">
        <f ca="1">Owner[[#This Row],[Hours_spent]]/Civil_Summary!$P$30</f>
        <v>0.328125</v>
      </c>
    </row>
    <row r="28" spans="6:18" x14ac:dyDescent="0.25">
      <c r="F28" s="1"/>
      <c r="M28" t="s">
        <v>23</v>
      </c>
      <c r="N28">
        <f>COUNTIF(Civil_Data!E:E,Owner[[#This Row],[Owner]])</f>
        <v>6</v>
      </c>
      <c r="O28">
        <f>COUNTIFS(Civil_Data!L:L,"Complete",Civil_Data!E:E,M28)</f>
        <v>1</v>
      </c>
      <c r="P28" s="18">
        <f ca="1">SUMIF(Civil_Data!E:E,M28,Civil_Data!K:K)</f>
        <v>1.3122500001336448</v>
      </c>
      <c r="Q28">
        <f>SUMIF(Civil_Data!E:E,M28,Civil_Data!F:F)</f>
        <v>40</v>
      </c>
      <c r="R28" s="17">
        <f ca="1">Owner[[#This Row],[Hours_spent]]/Civil_Summary!$P$30</f>
        <v>0.3280625000334112</v>
      </c>
    </row>
    <row r="29" spans="6:18" x14ac:dyDescent="0.25">
      <c r="M29" t="s">
        <v>24</v>
      </c>
      <c r="N29">
        <f>COUNTIF(Civil_Data!E:E,Owner[[#This Row],[Owner]])</f>
        <v>3</v>
      </c>
      <c r="O29">
        <f>COUNTIFS(Civil_Data!L:L,"Complete",Civil_Data!E:E,M29)</f>
        <v>0</v>
      </c>
      <c r="P29" s="18">
        <f>SUMIF(Civil_Data!E:E,M29,Civil_Data!K:K)</f>
        <v>0</v>
      </c>
      <c r="Q29">
        <f>SUMIF(Civil_Data!E:E,M29,Civil_Data!F:F)</f>
        <v>13</v>
      </c>
      <c r="R29" s="17">
        <f ca="1">Owner[[#This Row],[Hours_spent]]/Civil_Summary!$P$30</f>
        <v>0</v>
      </c>
    </row>
    <row r="30" spans="6:18" x14ac:dyDescent="0.25">
      <c r="M30" t="s">
        <v>15</v>
      </c>
      <c r="N30">
        <f>SUBTOTAL(109,Owner[All_Task_Count])</f>
        <v>21</v>
      </c>
      <c r="O30">
        <f>SUBTOTAL(109,Owner[Task-Completed])</f>
        <v>3</v>
      </c>
      <c r="P30" s="4">
        <f ca="1">ROUND(SUBTOTAL(109,Owner[Hours_spent]),0)</f>
        <v>4</v>
      </c>
      <c r="Q30">
        <f>SUBTOTAL(109,Owner[Alloted_Time])</f>
        <v>93</v>
      </c>
      <c r="R30" s="17">
        <f ca="1">SUBTOTAL(109,Owner[% Contribution by Hours])</f>
        <v>1.0268243055761559</v>
      </c>
    </row>
    <row r="31" spans="6:18" x14ac:dyDescent="0.25">
      <c r="N31">
        <f>SUM(Owner[All_Task_Count])</f>
        <v>21</v>
      </c>
      <c r="O31">
        <f>SUM(Owner[Task-Completed])</f>
        <v>3</v>
      </c>
      <c r="P31" t="str">
        <f ca="1">Owner[[#Totals],[Hours_spent]] &amp;" Hours"</f>
        <v>4 Hours</v>
      </c>
      <c r="Q31">
        <f>SUM(Owner[Alloted_Time])</f>
        <v>93</v>
      </c>
    </row>
    <row r="32" spans="6:18" x14ac:dyDescent="0.25">
      <c r="N32" t="s">
        <v>67</v>
      </c>
      <c r="O32" t="str">
        <f ca="1">ROUND((P30 - Q30)/Q30 *100, 0) &amp; "%"</f>
        <v>-96%</v>
      </c>
    </row>
  </sheetData>
  <phoneticPr fontId="4" type="noConversion"/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9B2D35CC-3006-4D47-8DA5-4F6D8C0792C4}">
          <x14:colorSeries theme="6" tint="-0.249977111117893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Civil_Summary!F16:F16</xm:f>
              <xm:sqref>F25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D49C-7185-4B08-8E22-2293A64C8FED}">
  <sheetPr codeName="Sheet6"/>
  <dimension ref="A2:J24"/>
  <sheetViews>
    <sheetView zoomScale="85" zoomScaleNormal="85" workbookViewId="0">
      <selection activeCell="B6" sqref="B6"/>
    </sheetView>
  </sheetViews>
  <sheetFormatPr defaultRowHeight="15" x14ac:dyDescent="0.25"/>
  <cols>
    <col min="1" max="1" width="17.5703125" bestFit="1" customWidth="1"/>
    <col min="2" max="2" width="24.85546875" bestFit="1" customWidth="1"/>
    <col min="3" max="3" width="14" customWidth="1"/>
    <col min="4" max="4" width="22.140625" bestFit="1" customWidth="1"/>
    <col min="5" max="5" width="11.28515625" bestFit="1" customWidth="1"/>
    <col min="6" max="6" width="16.140625" customWidth="1"/>
    <col min="7" max="7" width="20.28515625" bestFit="1" customWidth="1"/>
    <col min="8" max="8" width="23.5703125" bestFit="1" customWidth="1"/>
    <col min="9" max="9" width="12.42578125" bestFit="1" customWidth="1"/>
    <col min="10" max="10" width="24.7109375" bestFit="1" customWidth="1"/>
    <col min="13" max="13" width="22.42578125" bestFit="1" customWidth="1"/>
    <col min="14" max="14" width="16.28515625" bestFit="1" customWidth="1"/>
    <col min="15" max="15" width="8.85546875" bestFit="1" customWidth="1"/>
    <col min="16" max="16" width="24.85546875" bestFit="1" customWidth="1"/>
    <col min="17" max="17" width="7.28515625" bestFit="1" customWidth="1"/>
    <col min="18" max="18" width="11.5703125" bestFit="1" customWidth="1"/>
    <col min="19" max="19" width="19.28515625" bestFit="1" customWidth="1"/>
    <col min="20" max="20" width="11.28515625" bestFit="1" customWidth="1"/>
    <col min="21" max="21" width="7.85546875" bestFit="1" customWidth="1"/>
    <col min="22" max="22" width="8.85546875" bestFit="1" customWidth="1"/>
    <col min="23" max="23" width="7.85546875" bestFit="1" customWidth="1"/>
    <col min="24" max="24" width="4.85546875" bestFit="1" customWidth="1"/>
    <col min="25" max="25" width="7.85546875" bestFit="1" customWidth="1"/>
    <col min="26" max="26" width="4.85546875" bestFit="1" customWidth="1"/>
    <col min="27" max="27" width="7.85546875" bestFit="1" customWidth="1"/>
    <col min="28" max="28" width="3" bestFit="1" customWidth="1"/>
    <col min="29" max="29" width="5.85546875" bestFit="1" customWidth="1"/>
    <col min="30" max="30" width="11.28515625" bestFit="1" customWidth="1"/>
  </cols>
  <sheetData>
    <row r="2" spans="1:10" ht="36" customHeight="1" x14ac:dyDescent="0.25">
      <c r="A2" s="19" t="s">
        <v>65</v>
      </c>
      <c r="B2">
        <f ca="1">COUNTIF(Table4[Days_Due],"&lt;4")</f>
        <v>0</v>
      </c>
      <c r="I2" t="s">
        <v>52</v>
      </c>
      <c r="J2" s="9">
        <f ca="1" xml:space="preserve"> TODAY()+4</f>
        <v>45107</v>
      </c>
    </row>
    <row r="3" spans="1:10" ht="30" x14ac:dyDescent="0.25">
      <c r="A3" s="19" t="s">
        <v>66</v>
      </c>
      <c r="B3">
        <f ca="1">COUNTIF(Table4[Days_Due],"&gt;3")</f>
        <v>2</v>
      </c>
    </row>
    <row r="5" spans="1:10" x14ac:dyDescent="0.25">
      <c r="A5" t="s">
        <v>49</v>
      </c>
      <c r="B5" t="s">
        <v>50</v>
      </c>
      <c r="C5" t="s">
        <v>51</v>
      </c>
      <c r="D5" t="s">
        <v>35</v>
      </c>
      <c r="E5" t="s">
        <v>4</v>
      </c>
      <c r="F5" t="s">
        <v>5</v>
      </c>
      <c r="G5" t="s">
        <v>33</v>
      </c>
      <c r="H5" s="9" t="s">
        <v>63</v>
      </c>
      <c r="I5" s="9" t="s">
        <v>64</v>
      </c>
    </row>
    <row r="6" spans="1:10" x14ac:dyDescent="0.25">
      <c r="A6">
        <f t="array" aca="1" ref="A6" ca="1" xml:space="preserve"> IFERROR(INDEX(Civil_Data!$B$2:$B$49, SMALL(IF((Civil_Data!$J$2:$J$49 &lt;Upcoming_Deadline!$J$2)*(Civil_Data!$L$2:$L$49="InProgress"),ROW(Civil_Data!$B$2:$B$49) - ROW(Civil_Data!$B$2)+1),ROW() - ROW(Upcoming_Deadline!$A$6)+1)), "")</f>
        <v>4</v>
      </c>
      <c r="B6" t="str">
        <f t="array" aca="1" ref="B6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>Pump_House_Shelter</v>
      </c>
      <c r="C6" t="str">
        <f t="array" aca="1" ref="C6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>Jola</v>
      </c>
      <c r="D6" s="9">
        <f t="array" aca="1" ref="D6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>45099.587731481479</v>
      </c>
      <c r="E6" t="str">
        <f t="array" aca="1" ref="E6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>InProgress</v>
      </c>
      <c r="F6">
        <f t="array" aca="1" ref="F6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>40</v>
      </c>
      <c r="G6" t="str">
        <f t="array" aca="1" ref="G6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>Please Add Comment</v>
      </c>
      <c r="H6" s="9">
        <f t="array" aca="1" ref="H6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>45100</v>
      </c>
      <c r="I6">
        <f ca="1" xml:space="preserve"> IFERROR(NETWORKDAYS(Table4[[#This Row],[Expected_end_Date]],$J$2,Civil_Data!Q6:Q10),"")</f>
        <v>5</v>
      </c>
    </row>
    <row r="7" spans="1:10" x14ac:dyDescent="0.25">
      <c r="A7">
        <f t="array" aca="1" ref="A7" ca="1" xml:space="preserve"> IFERROR(INDEX(Civil_Data!$B$2:$B$49, SMALL(IF((Civil_Data!$J$2:$J$49 &lt;Upcoming_Deadline!$J$2)*(Civil_Data!$L$2:$L$49="InProgress"),ROW(Civil_Data!$B$2:$B$49) - ROW(Civil_Data!$B$2)+1),ROW() - ROW(Upcoming_Deadline!$A$6)+1)), "")</f>
        <v>6</v>
      </c>
      <c r="B7" t="str">
        <f t="array" aca="1" ref="B7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>Generator_House</v>
      </c>
      <c r="C7" t="str">
        <f t="array" aca="1" ref="C7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>Habeeb</v>
      </c>
      <c r="D7" s="9">
        <f t="array" aca="1" ref="D7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>45099.587777777779</v>
      </c>
      <c r="E7" t="str">
        <f t="array" aca="1" ref="E7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>InProgress</v>
      </c>
      <c r="F7">
        <f t="array" aca="1" ref="F7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>30</v>
      </c>
      <c r="G7" t="str">
        <f t="array" aca="1" ref="G7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>Please Add Comment</v>
      </c>
      <c r="H7" s="9">
        <f t="array" aca="1" ref="H7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>45100</v>
      </c>
      <c r="I7">
        <f ca="1" xml:space="preserve"> IFERROR(NETWORKDAYS(Table4[[#This Row],[Expected_end_Date]],$J$2,Civil_Data!Q7:Q10),"")</f>
        <v>6</v>
      </c>
    </row>
    <row r="8" spans="1:10" x14ac:dyDescent="0.25">
      <c r="A8" t="str">
        <f t="array" aca="1" ref="A8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8" t="str">
        <f t="array" aca="1" ref="B8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8" t="str">
        <f t="array" aca="1" ref="C8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8" s="9" t="str">
        <f t="array" aca="1" ref="D8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8" t="str">
        <f t="array" aca="1" ref="E8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8" t="str">
        <f t="array" aca="1" ref="F8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8" t="str">
        <f t="array" aca="1" ref="G8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8" s="9" t="str">
        <f t="array" aca="1" ref="H8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8" t="str">
        <f ca="1" xml:space="preserve"> IFERROR(NETWORKDAYS(Table4[[#This Row],[Expected_end_Date]],$J$2,Civil_Data!Q8:Q11),"")</f>
        <v/>
      </c>
    </row>
    <row r="9" spans="1:10" x14ac:dyDescent="0.25">
      <c r="A9" t="str">
        <f t="array" aca="1" ref="A9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9" t="str">
        <f t="array" aca="1" ref="B9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9" t="str">
        <f t="array" aca="1" ref="C9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9" s="9" t="str">
        <f t="array" aca="1" ref="D9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9" t="str">
        <f t="array" aca="1" ref="E9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9" t="str">
        <f t="array" aca="1" ref="F9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9" t="str">
        <f t="array" aca="1" ref="G9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9" s="9" t="str">
        <f t="array" aca="1" ref="H9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9" t="str">
        <f ca="1" xml:space="preserve"> IFERROR(NETWORKDAYS(Table4[[#This Row],[Expected_end_Date]],$J$2,Civil_Data!Q9:Q12),"")</f>
        <v/>
      </c>
    </row>
    <row r="10" spans="1:10" x14ac:dyDescent="0.25">
      <c r="A10" t="str">
        <f t="array" aca="1" ref="A10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0" t="str">
        <f t="array" aca="1" ref="B10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0" t="str">
        <f t="array" aca="1" ref="C10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0" s="9" t="str">
        <f t="array" aca="1" ref="D10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0" t="str">
        <f t="array" aca="1" ref="E10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0" t="str">
        <f t="array" aca="1" ref="F10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0" t="str">
        <f t="array" aca="1" ref="G10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0" s="9" t="str">
        <f t="array" aca="1" ref="H10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0" t="str">
        <f ca="1" xml:space="preserve"> IFERROR(NETWORKDAYS(Table4[[#This Row],[Expected_end_Date]],$J$2,Civil_Data!Q10:Q13),"")</f>
        <v/>
      </c>
    </row>
    <row r="11" spans="1:10" x14ac:dyDescent="0.25">
      <c r="A11" t="str">
        <f t="array" aca="1" ref="A11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1" t="str">
        <f t="array" aca="1" ref="B11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1" t="str">
        <f t="array" aca="1" ref="C11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1" s="9" t="str">
        <f t="array" aca="1" ref="D11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1" t="str">
        <f t="array" aca="1" ref="E11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1" t="str">
        <f t="array" aca="1" ref="F11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1" t="str">
        <f t="array" aca="1" ref="G11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1" s="9" t="str">
        <f t="array" aca="1" ref="H11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1" t="str">
        <f ca="1" xml:space="preserve"> IFERROR(NETWORKDAYS(Table4[[#This Row],[Expected_end_Date]],$J$2,Civil_Data!Q11:Q14),"")</f>
        <v/>
      </c>
    </row>
    <row r="12" spans="1:10" x14ac:dyDescent="0.25">
      <c r="A12" t="str">
        <f t="array" aca="1" ref="A12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2" t="str">
        <f t="array" aca="1" ref="B12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2" t="str">
        <f t="array" aca="1" ref="C12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2" s="9" t="str">
        <f t="array" aca="1" ref="D12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2" t="str">
        <f t="array" aca="1" ref="E12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2" t="str">
        <f t="array" aca="1" ref="F12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2" t="str">
        <f t="array" aca="1" ref="G12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2" s="9" t="str">
        <f t="array" aca="1" ref="H12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2" t="str">
        <f ca="1" xml:space="preserve"> IFERROR(NETWORKDAYS(Table4[[#This Row],[Expected_end_Date]],$J$2,Civil_Data!Q11:Q15),"")</f>
        <v/>
      </c>
    </row>
    <row r="13" spans="1:10" x14ac:dyDescent="0.25">
      <c r="A13" t="str">
        <f t="array" aca="1" ref="A13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3" t="str">
        <f t="array" aca="1" ref="B13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3" t="str">
        <f t="array" aca="1" ref="C13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3" s="9" t="str">
        <f t="array" aca="1" ref="D13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3" t="str">
        <f t="array" aca="1" ref="E13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3" t="str">
        <f t="array" aca="1" ref="F13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3" t="str">
        <f t="array" aca="1" ref="G13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3" s="9" t="str">
        <f t="array" aca="1" ref="H13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3" t="str">
        <f ca="1" xml:space="preserve"> IFERROR(NETWORKDAYS(Table4[[#This Row],[Expected_end_Date]],$J$2,Civil_Data!Q12:Q16),"")</f>
        <v/>
      </c>
    </row>
    <row r="14" spans="1:10" x14ac:dyDescent="0.25">
      <c r="A14" t="str">
        <f t="array" aca="1" ref="A14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4" t="str">
        <f t="array" aca="1" ref="B14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4" t="str">
        <f t="array" aca="1" ref="C14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4" s="9" t="str">
        <f t="array" aca="1" ref="D14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4" t="str">
        <f t="array" aca="1" ref="E14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4" t="str">
        <f t="array" aca="1" ref="F14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4" t="str">
        <f t="array" aca="1" ref="G14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4" s="9" t="str">
        <f t="array" aca="1" ref="H14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4" t="str">
        <f ca="1" xml:space="preserve"> IFERROR(NETWORKDAYS(Table4[[#This Row],[Expected_end_Date]],$J$2,Civil_Data!Q13:Q17),"")</f>
        <v/>
      </c>
    </row>
    <row r="15" spans="1:10" x14ac:dyDescent="0.25">
      <c r="A15" t="str">
        <f t="array" aca="1" ref="A15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5" t="str">
        <f t="array" aca="1" ref="B15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5" t="str">
        <f t="array" aca="1" ref="C15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5" s="9" t="str">
        <f t="array" aca="1" ref="D15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5" t="str">
        <f t="array" aca="1" ref="E15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5" t="str">
        <f t="array" aca="1" ref="F15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5" t="str">
        <f t="array" aca="1" ref="G15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5" s="9" t="str">
        <f t="array" aca="1" ref="H15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5" t="str">
        <f ca="1" xml:space="preserve"> IFERROR(NETWORKDAYS(Table4[[#This Row],[Expected_end_Date]],$J$2,Civil_Data!Q14:Q18),"")</f>
        <v/>
      </c>
    </row>
    <row r="16" spans="1:10" x14ac:dyDescent="0.25">
      <c r="A16" t="str">
        <f t="array" aca="1" ref="A16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6" t="str">
        <f t="array" aca="1" ref="B16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6" t="str">
        <f t="array" aca="1" ref="C16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6" s="9" t="str">
        <f t="array" aca="1" ref="D16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6" t="str">
        <f t="array" aca="1" ref="E16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6" t="str">
        <f t="array" aca="1" ref="F16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6" t="str">
        <f t="array" aca="1" ref="G16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6" s="9" t="str">
        <f t="array" aca="1" ref="H16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6" t="str">
        <f ca="1" xml:space="preserve"> IFERROR(NETWORKDAYS(Table4[[#This Row],[Expected_end_Date]],$J$2,Civil_Data!Q15:Q19),"")</f>
        <v/>
      </c>
    </row>
    <row r="17" spans="1:9" x14ac:dyDescent="0.25">
      <c r="A17" t="str">
        <f t="array" aca="1" ref="A17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7" t="str">
        <f t="array" aca="1" ref="B17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7" t="str">
        <f t="array" aca="1" ref="C17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7" s="9" t="str">
        <f t="array" aca="1" ref="D17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7" t="str">
        <f t="array" aca="1" ref="E17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7" t="str">
        <f t="array" aca="1" ref="F17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7" t="str">
        <f t="array" aca="1" ref="G17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7" s="9" t="str">
        <f t="array" aca="1" ref="H17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7" t="str">
        <f ca="1" xml:space="preserve"> IFERROR(NETWORKDAYS(Table4[[#This Row],[Expected_end_Date]],$J$2,Civil_Data!Q16:Q20),"")</f>
        <v/>
      </c>
    </row>
    <row r="18" spans="1:9" x14ac:dyDescent="0.25">
      <c r="A18" t="str">
        <f t="array" aca="1" ref="A18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8" t="str">
        <f t="array" aca="1" ref="B18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8" t="str">
        <f t="array" aca="1" ref="C18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8" s="9" t="str">
        <f t="array" aca="1" ref="D18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8" t="str">
        <f t="array" aca="1" ref="E18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8" t="str">
        <f t="array" aca="1" ref="F18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8" t="str">
        <f t="array" aca="1" ref="G18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8" s="9" t="str">
        <f t="array" aca="1" ref="H18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8" t="str">
        <f ca="1" xml:space="preserve"> IFERROR(NETWORKDAYS(Table4[[#This Row],[Expected_end_Date]],$J$2,Civil_Data!Q17:Q21),"")</f>
        <v/>
      </c>
    </row>
    <row r="19" spans="1:9" x14ac:dyDescent="0.25">
      <c r="A19" t="str">
        <f t="array" aca="1" ref="A19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9" t="str">
        <f t="array" aca="1" ref="B19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9" t="str">
        <f t="array" aca="1" ref="C19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9" s="9" t="str">
        <f t="array" aca="1" ref="D19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9" t="str">
        <f t="array" aca="1" ref="E19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9" t="str">
        <f t="array" aca="1" ref="F19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9" t="str">
        <f t="array" aca="1" ref="G19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9" s="9" t="str">
        <f t="array" aca="1" ref="H19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9" t="str">
        <f ca="1" xml:space="preserve"> IFERROR(NETWORKDAYS(Table4[[#This Row],[Expected_end_Date]],$J$2,Civil_Data!Q18:Q22),"")</f>
        <v/>
      </c>
    </row>
    <row r="20" spans="1:9" x14ac:dyDescent="0.25">
      <c r="A20" t="str">
        <f t="array" aca="1" ref="A20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0" t="str">
        <f t="array" aca="1" ref="B20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0" t="str">
        <f t="array" aca="1" ref="C20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0" s="9" t="str">
        <f t="array" aca="1" ref="D20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0" t="str">
        <f t="array" aca="1" ref="E20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0" t="str">
        <f t="array" aca="1" ref="F20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0" t="str">
        <f t="array" aca="1" ref="G20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0" s="9" t="str">
        <f t="array" aca="1" ref="H20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0" t="str">
        <f ca="1" xml:space="preserve"> IFERROR(NETWORKDAYS(Table4[[#This Row],[Expected_end_Date]],$J$2,Civil_Data!Q19:Q23),"")</f>
        <v/>
      </c>
    </row>
    <row r="21" spans="1:9" x14ac:dyDescent="0.25">
      <c r="A21" t="str">
        <f t="array" aca="1" ref="A21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1" t="str">
        <f t="array" aca="1" ref="B21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1" t="str">
        <f t="array" aca="1" ref="C21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1" s="9" t="str">
        <f t="array" aca="1" ref="D21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1" t="str">
        <f t="array" aca="1" ref="E21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1" t="str">
        <f t="array" aca="1" ref="F21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1" t="str">
        <f t="array" aca="1" ref="G21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1" s="9" t="str">
        <f t="array" aca="1" ref="H21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1" t="str">
        <f ca="1" xml:space="preserve"> IFERROR(NETWORKDAYS(Table4[[#This Row],[Expected_end_Date]],$J$2,Civil_Data!Q2:Q6),"")</f>
        <v/>
      </c>
    </row>
    <row r="22" spans="1:9" x14ac:dyDescent="0.25">
      <c r="A22" t="str">
        <f t="array" aca="1" ref="A22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2" t="str">
        <f t="array" aca="1" ref="B22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2" t="str">
        <f t="array" aca="1" ref="C22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2" s="9" t="str">
        <f t="array" aca="1" ref="D22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2" t="str">
        <f t="array" aca="1" ref="E22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2" t="str">
        <f t="array" aca="1" ref="F22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2" t="str">
        <f t="array" aca="1" ref="G22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2" s="9" t="str">
        <f t="array" aca="1" ref="H22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2" t="str">
        <f ca="1" xml:space="preserve"> IFERROR(NETWORKDAYS(Table4[[#This Row],[Expected_end_Date]],$J$2,Civil_Data!Q3:Q7),"")</f>
        <v/>
      </c>
    </row>
    <row r="23" spans="1:9" x14ac:dyDescent="0.25">
      <c r="A23" t="str">
        <f t="array" aca="1" ref="A23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3" t="str">
        <f t="array" aca="1" ref="B23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3" t="str">
        <f t="array" aca="1" ref="C23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3" s="9" t="str">
        <f t="array" aca="1" ref="D23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3" t="str">
        <f t="array" aca="1" ref="E23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3" t="str">
        <f t="array" aca="1" ref="F23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3" t="str">
        <f t="array" aca="1" ref="G23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3" s="9" t="str">
        <f t="array" aca="1" ref="H23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3" t="str">
        <f ca="1" xml:space="preserve"> IFERROR(NETWORKDAYS(Table4[[#This Row],[Expected_end_Date]],$J$2,Civil_Data!Q4:Q8),"")</f>
        <v/>
      </c>
    </row>
    <row r="24" spans="1:9" x14ac:dyDescent="0.25">
      <c r="A24" t="str">
        <f t="array" aca="1" ref="A24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4" t="str">
        <f t="array" aca="1" ref="B24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4" t="str">
        <f t="array" aca="1" ref="C24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4" s="9" t="str">
        <f t="array" aca="1" ref="D24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4" t="str">
        <f t="array" aca="1" ref="E24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4" t="str">
        <f t="array" aca="1" ref="F24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4" t="str">
        <f t="array" aca="1" ref="G24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4" s="9" t="str">
        <f t="array" aca="1" ref="H24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4" t="str">
        <f ca="1" xml:space="preserve"> IFERROR(NETWORKDAYS(Table4[[#This Row],[Expected_end_Date]],$J$2,Civil_Data!Q5:Q9),"")</f>
        <v/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Civil_Dashboard</vt:lpstr>
      <vt:lpstr>Civil_Data</vt:lpstr>
      <vt:lpstr>Civil_Summary</vt:lpstr>
      <vt:lpstr>Upcoming_Deadline</vt:lpstr>
      <vt:lpstr>Civil_Summary!Complete</vt:lpstr>
      <vt:lpstr>Complete</vt:lpstr>
      <vt:lpstr>Civil_Summary!In_Progress</vt:lpstr>
      <vt:lpstr>In_Progress</vt:lpstr>
      <vt:lpstr>InProgress</vt:lpstr>
      <vt:lpstr>Civil_Summary!Undone</vt:lpstr>
      <vt:lpstr>Undone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Jola</dc:creator>
  <cp:lastModifiedBy>Jola</cp:lastModifiedBy>
  <dcterms:created xsi:type="dcterms:W3CDTF">2023-06-05T17:36:01Z</dcterms:created>
  <dcterms:modified xsi:type="dcterms:W3CDTF">2023-06-26T10:40:02Z</dcterms:modified>
</cp:coreProperties>
</file>