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la\Desktop\CAKASA Project Dashboard\Civil- Afisiere Project Progress Dashboard\"/>
    </mc:Choice>
  </mc:AlternateContent>
  <xr:revisionPtr revIDLastSave="0" documentId="13_ncr:1_{13731E5A-982B-47A4-85CE-FDFBB9266A1F}" xr6:coauthVersionLast="47" xr6:coauthVersionMax="47" xr10:uidLastSave="{00000000-0000-0000-0000-000000000000}"/>
  <bookViews>
    <workbookView xWindow="-120" yWindow="-120" windowWidth="20730" windowHeight="11160" activeTab="1" xr2:uid="{8BEC9EF8-12DE-485E-82AC-914216ED3078}"/>
  </bookViews>
  <sheets>
    <sheet name="Piping_Dashboard" sheetId="3" r:id="rId1"/>
    <sheet name="Piping_Data" sheetId="1" r:id="rId2"/>
    <sheet name="Piping_Summary" sheetId="2" r:id="rId3"/>
    <sheet name="Upcoming_Deadline" sheetId="6" r:id="rId4"/>
  </sheets>
  <definedNames>
    <definedName name="Complete" localSheetId="2">Piping_Summary!$O$4:$O$12</definedName>
    <definedName name="Complete">Piping_Data!$W$5:$W$5</definedName>
    <definedName name="In_Progress" localSheetId="2">Piping_Summary!$N$4:$N$12</definedName>
    <definedName name="In_Progress">Piping_Data!$V$5:$V$13</definedName>
    <definedName name="InProgress">Table2[InProgress]</definedName>
    <definedName name="Undone" localSheetId="2">Piping_Summary!$M$4:$M$12</definedName>
    <definedName name="Undone">Piping_Data!$U$5:$U$5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" i="2" l="1"/>
  <c r="N31" i="2"/>
  <c r="O31" i="2"/>
  <c r="P31" i="2"/>
  <c r="Q31" i="2"/>
  <c r="N30" i="2"/>
  <c r="O30" i="2"/>
  <c r="P30" i="2"/>
  <c r="Q30" i="2"/>
  <c r="J2" i="6"/>
  <c r="I36" i="1"/>
  <c r="L36" i="1" s="1"/>
  <c r="I37" i="1"/>
  <c r="L37" i="1" s="1"/>
  <c r="I38" i="1"/>
  <c r="L38" i="1" s="1"/>
  <c r="I39" i="1"/>
  <c r="L39" i="1" s="1"/>
  <c r="I40" i="1"/>
  <c r="L40" i="1" s="1"/>
  <c r="I41" i="1"/>
  <c r="I42" i="1"/>
  <c r="L42" i="1" s="1"/>
  <c r="I43" i="1"/>
  <c r="L43" i="1" s="1"/>
  <c r="I44" i="1"/>
  <c r="L44" i="1" s="1"/>
  <c r="I45" i="1"/>
  <c r="L45" i="1" s="1"/>
  <c r="I46" i="1"/>
  <c r="L46" i="1" s="1"/>
  <c r="I19" i="1"/>
  <c r="L19" i="1" s="1"/>
  <c r="I20" i="1"/>
  <c r="L20" i="1" s="1"/>
  <c r="I25" i="1"/>
  <c r="L25" i="1" s="1"/>
  <c r="I26" i="1"/>
  <c r="L26" i="1" s="1"/>
  <c r="I27" i="1"/>
  <c r="L27" i="1" s="1"/>
  <c r="I28" i="1"/>
  <c r="L28" i="1" s="1"/>
  <c r="I29" i="1"/>
  <c r="L29" i="1" s="1"/>
  <c r="I30" i="1"/>
  <c r="L30" i="1" s="1"/>
  <c r="I31" i="1"/>
  <c r="L31" i="1" s="1"/>
  <c r="I32" i="1"/>
  <c r="L32" i="1" s="1"/>
  <c r="I33" i="1"/>
  <c r="I34" i="1"/>
  <c r="L34" i="1" s="1"/>
  <c r="I35" i="1"/>
  <c r="L35" i="1" s="1"/>
  <c r="I16" i="1"/>
  <c r="L16" i="1" s="1"/>
  <c r="I17" i="1"/>
  <c r="L17" i="1" s="1"/>
  <c r="I15" i="1"/>
  <c r="L15" i="1" s="1"/>
  <c r="I10" i="1"/>
  <c r="L10" i="1" s="1"/>
  <c r="K8" i="2"/>
  <c r="J4" i="2"/>
  <c r="J5" i="2"/>
  <c r="J6" i="2"/>
  <c r="J7" i="2"/>
  <c r="J8" i="2"/>
  <c r="J9" i="2"/>
  <c r="J10" i="2"/>
  <c r="I18" i="2"/>
  <c r="I4" i="2"/>
  <c r="AA29" i="1"/>
  <c r="AB29" i="1"/>
  <c r="L33" i="1"/>
  <c r="L41" i="1"/>
  <c r="L47" i="1"/>
  <c r="L48" i="1"/>
  <c r="L49" i="1"/>
  <c r="L50" i="1"/>
  <c r="L51" i="1"/>
  <c r="L52" i="1"/>
  <c r="L53" i="1"/>
  <c r="L54" i="1"/>
  <c r="L55" i="1"/>
  <c r="L56" i="1"/>
  <c r="I5" i="2"/>
  <c r="I6" i="2"/>
  <c r="I7" i="2"/>
  <c r="I8" i="2"/>
  <c r="I9" i="2"/>
  <c r="I10" i="2"/>
  <c r="Q26" i="2"/>
  <c r="Q27" i="2"/>
  <c r="Q28" i="2"/>
  <c r="Q29" i="2"/>
  <c r="O26" i="2"/>
  <c r="O27" i="2"/>
  <c r="O28" i="2"/>
  <c r="O29" i="2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J11" i="2" l="1"/>
  <c r="J12" i="2" s="1"/>
  <c r="I11" i="2"/>
  <c r="I12" i="2" s="1"/>
  <c r="Q33" i="2"/>
  <c r="Q32" i="2"/>
  <c r="O33" i="2"/>
  <c r="O32" i="2"/>
  <c r="V20" i="1" l="1"/>
  <c r="V16" i="1"/>
  <c r="F16" i="2"/>
  <c r="F17" i="2" s="1"/>
  <c r="R4" i="2"/>
  <c r="R5" i="2"/>
  <c r="R6" i="2"/>
  <c r="R7" i="2"/>
  <c r="R8" i="2"/>
  <c r="R9" i="2"/>
  <c r="R10" i="2"/>
  <c r="R11" i="2"/>
  <c r="R12" i="2"/>
  <c r="C5" i="2"/>
  <c r="C6" i="2"/>
  <c r="O14" i="2"/>
  <c r="N14" i="2"/>
  <c r="M14" i="2"/>
  <c r="G4" i="2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V19" i="1" l="1"/>
  <c r="V22" i="1" s="1"/>
  <c r="H4" i="2"/>
  <c r="M16" i="2"/>
  <c r="N16" i="2"/>
  <c r="O16" i="2"/>
  <c r="G11" i="2"/>
  <c r="G12" i="2" s="1"/>
  <c r="F25" i="2" l="1"/>
  <c r="H11" i="2"/>
  <c r="N27" i="2" l="1"/>
  <c r="N29" i="2"/>
  <c r="N28" i="2"/>
  <c r="N33" i="2" l="1"/>
  <c r="N32" i="2"/>
  <c r="P26" i="2" l="1"/>
  <c r="P29" i="2"/>
  <c r="I3" i="1" l="1"/>
  <c r="L3" i="1" s="1"/>
  <c r="I4" i="1"/>
  <c r="L4" i="1" s="1"/>
  <c r="P27" i="2" s="1"/>
  <c r="I5" i="1"/>
  <c r="L5" i="1" s="1"/>
  <c r="P28" i="2" s="1"/>
  <c r="H6" i="1"/>
  <c r="K6" i="1" s="1"/>
  <c r="I6" i="1"/>
  <c r="L6" i="1" s="1"/>
  <c r="H7" i="1"/>
  <c r="K7" i="1" s="1"/>
  <c r="I7" i="1"/>
  <c r="L7" i="1" s="1"/>
  <c r="H8" i="1"/>
  <c r="K8" i="1" s="1"/>
  <c r="I8" i="1"/>
  <c r="L8" i="1" s="1"/>
  <c r="H9" i="1"/>
  <c r="K9" i="1" s="1"/>
  <c r="I9" i="1"/>
  <c r="L9" i="1" s="1"/>
  <c r="H10" i="1"/>
  <c r="K10" i="1" s="1"/>
  <c r="H11" i="1"/>
  <c r="K11" i="1" s="1"/>
  <c r="I11" i="1"/>
  <c r="L11" i="1" s="1"/>
  <c r="H12" i="1"/>
  <c r="K12" i="1" s="1"/>
  <c r="I12" i="1"/>
  <c r="L12" i="1" s="1"/>
  <c r="H13" i="1"/>
  <c r="K13" i="1" s="1"/>
  <c r="I13" i="1"/>
  <c r="L13" i="1" s="1"/>
  <c r="H14" i="1"/>
  <c r="K14" i="1" s="1"/>
  <c r="I14" i="1"/>
  <c r="L14" i="1" s="1"/>
  <c r="H15" i="1"/>
  <c r="K15" i="1" s="1"/>
  <c r="H16" i="1"/>
  <c r="K16" i="1" s="1"/>
  <c r="H17" i="1"/>
  <c r="K17" i="1" s="1"/>
  <c r="H18" i="1"/>
  <c r="K18" i="1" s="1"/>
  <c r="I18" i="1"/>
  <c r="L18" i="1" s="1"/>
  <c r="H19" i="1"/>
  <c r="K19" i="1" s="1"/>
  <c r="H20" i="1"/>
  <c r="K20" i="1" s="1"/>
  <c r="H21" i="1"/>
  <c r="K21" i="1" s="1"/>
  <c r="I21" i="1"/>
  <c r="L21" i="1" s="1"/>
  <c r="H22" i="1"/>
  <c r="K22" i="1" s="1"/>
  <c r="I22" i="1"/>
  <c r="L22" i="1" s="1"/>
  <c r="H23" i="1"/>
  <c r="I23" i="1"/>
  <c r="L23" i="1" s="1"/>
  <c r="H24" i="1"/>
  <c r="I24" i="1"/>
  <c r="L24" i="1" s="1"/>
  <c r="H25" i="1"/>
  <c r="K4" i="2"/>
  <c r="K5" i="2"/>
  <c r="K6" i="2"/>
  <c r="K7" i="2"/>
  <c r="K9" i="2"/>
  <c r="K10" i="2"/>
  <c r="P32" i="2" l="1"/>
  <c r="R28" i="2" s="1"/>
  <c r="K11" i="2"/>
  <c r="K12" i="2" s="1"/>
  <c r="O34" i="2" l="1"/>
  <c r="R30" i="2"/>
  <c r="R26" i="2"/>
  <c r="R32" i="2" s="1"/>
  <c r="P33" i="2"/>
  <c r="R29" i="2"/>
  <c r="R27" i="2"/>
  <c r="R31" i="2"/>
  <c r="I2" i="1"/>
  <c r="L2" i="1" s="1"/>
  <c r="H2" i="1" l="1"/>
  <c r="K2" i="1" s="1"/>
  <c r="E8" i="6" s="1" a="1"/>
  <c r="E8" i="6" s="1"/>
  <c r="H3" i="1"/>
  <c r="K3" i="1" s="1"/>
  <c r="A10" i="6" a="1"/>
  <c r="A10" i="6" s="1"/>
  <c r="C10" i="6" a="1"/>
  <c r="C10" i="6" s="1"/>
  <c r="J24" i="3" s="1"/>
  <c r="D10" i="6" a="1"/>
  <c r="D10" i="6" s="1"/>
  <c r="E10" i="6" a="1"/>
  <c r="E10" i="6" s="1"/>
  <c r="F10" i="6" a="1"/>
  <c r="F10" i="6" s="1"/>
  <c r="L24" i="3" s="1"/>
  <c r="G10" i="6" a="1"/>
  <c r="G10" i="6" s="1"/>
  <c r="M24" i="3" s="1"/>
  <c r="H10" i="6" a="1"/>
  <c r="H10" i="6" s="1"/>
  <c r="I10" i="6" s="1"/>
  <c r="A11" i="6" a="1"/>
  <c r="A11" i="6" s="1"/>
  <c r="B11" i="6" a="1"/>
  <c r="B11" i="6" s="1"/>
  <c r="K25" i="3" s="1"/>
  <c r="C11" i="6" a="1"/>
  <c r="C11" i="6" s="1"/>
  <c r="J25" i="3" s="1"/>
  <c r="D11" i="6" a="1"/>
  <c r="D11" i="6" s="1"/>
  <c r="E11" i="6" a="1"/>
  <c r="E11" i="6" s="1"/>
  <c r="F11" i="6" a="1"/>
  <c r="F11" i="6" s="1"/>
  <c r="L25" i="3" s="1"/>
  <c r="G11" i="6" a="1"/>
  <c r="G11" i="6" s="1"/>
  <c r="M25" i="3" s="1"/>
  <c r="H11" i="6" a="1"/>
  <c r="H11" i="6" s="1"/>
  <c r="I11" i="6" s="1"/>
  <c r="A12" i="6" a="1"/>
  <c r="A12" i="6" s="1"/>
  <c r="B12" i="6" a="1"/>
  <c r="B12" i="6" s="1"/>
  <c r="K26" i="3" s="1"/>
  <c r="C12" i="6" a="1"/>
  <c r="C12" i="6" s="1"/>
  <c r="J26" i="3" s="1"/>
  <c r="D12" i="6" a="1"/>
  <c r="D12" i="6" s="1"/>
  <c r="E12" i="6" a="1"/>
  <c r="E12" i="6" s="1"/>
  <c r="F12" i="6" a="1"/>
  <c r="F12" i="6" s="1"/>
  <c r="L26" i="3" s="1"/>
  <c r="G12" i="6" a="1"/>
  <c r="G12" i="6" s="1"/>
  <c r="M26" i="3" s="1"/>
  <c r="H12" i="6" a="1"/>
  <c r="H12" i="6" s="1"/>
  <c r="I12" i="6" s="1"/>
  <c r="A13" i="6" a="1"/>
  <c r="A13" i="6" s="1"/>
  <c r="B13" i="6" a="1"/>
  <c r="B13" i="6" s="1"/>
  <c r="K27" i="3" s="1"/>
  <c r="C13" i="6" a="1"/>
  <c r="C13" i="6" s="1"/>
  <c r="J27" i="3" s="1"/>
  <c r="D13" i="6" a="1"/>
  <c r="D13" i="6" s="1"/>
  <c r="E13" i="6" a="1"/>
  <c r="E13" i="6" s="1"/>
  <c r="F13" i="6" a="1"/>
  <c r="F13" i="6" s="1"/>
  <c r="L27" i="3" s="1"/>
  <c r="G13" i="6" a="1"/>
  <c r="G13" i="6" s="1"/>
  <c r="M27" i="3" s="1"/>
  <c r="H13" i="6" a="1"/>
  <c r="H13" i="6" s="1"/>
  <c r="I13" i="6" s="1"/>
  <c r="A14" i="6" a="1"/>
  <c r="A14" i="6" s="1"/>
  <c r="B14" i="6" a="1"/>
  <c r="B14" i="6" s="1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H14" i="6" a="1"/>
  <c r="H14" i="6" s="1"/>
  <c r="I14" i="6" s="1"/>
  <c r="A15" i="6" a="1"/>
  <c r="A15" i="6" s="1"/>
  <c r="B15" i="6" a="1"/>
  <c r="B15" i="6" s="1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H15" i="6" a="1"/>
  <c r="H15" i="6" s="1"/>
  <c r="I15" i="6" s="1"/>
  <c r="A16" i="6" a="1"/>
  <c r="A16" i="6" s="1"/>
  <c r="B16" i="6" a="1"/>
  <c r="B16" i="6" s="1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H16" i="6" a="1"/>
  <c r="H16" i="6" s="1"/>
  <c r="I16" i="6" s="1"/>
  <c r="A17" i="6" a="1"/>
  <c r="A17" i="6" s="1"/>
  <c r="B17" i="6" a="1"/>
  <c r="B17" i="6" s="1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H17" i="6" a="1"/>
  <c r="H17" i="6" s="1"/>
  <c r="I17" i="6" s="1"/>
  <c r="A18" i="6" a="1"/>
  <c r="A18" i="6" s="1"/>
  <c r="B18" i="6" a="1"/>
  <c r="B18" i="6" s="1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H18" i="6" a="1"/>
  <c r="H18" i="6" s="1"/>
  <c r="I18" i="6" s="1"/>
  <c r="A19" i="6" a="1"/>
  <c r="A19" i="6" s="1"/>
  <c r="B19" i="6" a="1"/>
  <c r="B19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s="1"/>
  <c r="A20" i="6" a="1"/>
  <c r="A20" i="6" s="1"/>
  <c r="B20" i="6" a="1"/>
  <c r="B20" i="6" s="1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s="1"/>
  <c r="A21" i="6" a="1"/>
  <c r="A21" i="6" s="1"/>
  <c r="B21" i="6" a="1"/>
  <c r="B21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s="1"/>
  <c r="A22" i="6" a="1"/>
  <c r="A22" i="6" s="1"/>
  <c r="B22" i="6" a="1"/>
  <c r="B22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s="1"/>
  <c r="A23" i="6" a="1"/>
  <c r="A23" i="6" s="1"/>
  <c r="B23" i="6" a="1"/>
  <c r="B23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s="1"/>
  <c r="A24" i="6" a="1"/>
  <c r="A24" i="6" s="1"/>
  <c r="B24" i="6" a="1"/>
  <c r="B24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s="1"/>
  <c r="B10" i="6" l="1" a="1"/>
  <c r="B10" i="6" s="1"/>
  <c r="K24" i="3" s="1"/>
  <c r="H9" i="6" a="1"/>
  <c r="H9" i="6" s="1"/>
  <c r="I9" i="6" s="1"/>
  <c r="F9" i="6" a="1"/>
  <c r="F9" i="6" s="1"/>
  <c r="L23" i="3" s="1"/>
  <c r="G9" i="6" a="1"/>
  <c r="G9" i="6" s="1"/>
  <c r="M23" i="3" s="1"/>
  <c r="E9" i="6" a="1"/>
  <c r="E9" i="6" s="1"/>
  <c r="C9" i="6" a="1"/>
  <c r="C9" i="6" s="1"/>
  <c r="J23" i="3" s="1"/>
  <c r="D9" i="6" a="1"/>
  <c r="D9" i="6" s="1"/>
  <c r="B9" i="6" a="1"/>
  <c r="B9" i="6" s="1"/>
  <c r="K23" i="3" s="1"/>
  <c r="A9" i="6" a="1"/>
  <c r="A9" i="6" s="1"/>
  <c r="H7" i="6" a="1"/>
  <c r="H7" i="6" s="1"/>
  <c r="I7" i="6" s="1"/>
  <c r="H8" i="6" a="1"/>
  <c r="H8" i="6" s="1"/>
  <c r="I8" i="6" s="1"/>
  <c r="G8" i="6" a="1"/>
  <c r="G8" i="6" s="1"/>
  <c r="M22" i="3" s="1"/>
  <c r="F8" i="6" a="1"/>
  <c r="F8" i="6" s="1"/>
  <c r="L22" i="3" s="1"/>
  <c r="D8" i="6" a="1"/>
  <c r="D8" i="6" s="1"/>
  <c r="C8" i="6" a="1"/>
  <c r="C8" i="6" s="1"/>
  <c r="J22" i="3" s="1"/>
  <c r="B8" i="6" a="1"/>
  <c r="B8" i="6" s="1"/>
  <c r="K22" i="3" s="1"/>
  <c r="A6" i="6" a="1"/>
  <c r="A6" i="6" s="1"/>
  <c r="A8" i="6" a="1"/>
  <c r="A8" i="6" s="1"/>
  <c r="G7" i="6" a="1"/>
  <c r="G7" i="6" s="1"/>
  <c r="M21" i="3" s="1"/>
  <c r="E7" i="6" a="1"/>
  <c r="E7" i="6" s="1"/>
  <c r="F7" i="6" a="1"/>
  <c r="F7" i="6" s="1"/>
  <c r="L21" i="3" s="1"/>
  <c r="D7" i="6" a="1"/>
  <c r="D7" i="6" s="1"/>
  <c r="B7" i="6" a="1"/>
  <c r="B7" i="6" s="1"/>
  <c r="K21" i="3" s="1"/>
  <c r="C7" i="6" a="1"/>
  <c r="C7" i="6" s="1"/>
  <c r="J21" i="3" s="1"/>
  <c r="A7" i="6" a="1"/>
  <c r="A7" i="6" s="1"/>
  <c r="H6" i="6" a="1"/>
  <c r="H6" i="6" s="1"/>
  <c r="I6" i="6" s="1"/>
  <c r="G6" i="6" a="1"/>
  <c r="G6" i="6" s="1"/>
  <c r="M20" i="3" s="1"/>
  <c r="F6" i="6" a="1"/>
  <c r="F6" i="6" s="1"/>
  <c r="L20" i="3" s="1"/>
  <c r="E6" i="6" a="1"/>
  <c r="E6" i="6" s="1"/>
  <c r="C6" i="6" a="1"/>
  <c r="C6" i="6" s="1"/>
  <c r="J20" i="3" s="1"/>
  <c r="D6" i="6" a="1"/>
  <c r="D6" i="6" s="1"/>
  <c r="B6" i="6" a="1"/>
  <c r="B6" i="6" s="1"/>
  <c r="K20" i="3" s="1"/>
  <c r="H4" i="1"/>
  <c r="H5" i="1"/>
  <c r="B2" i="6" l="1"/>
  <c r="B3" i="6"/>
  <c r="Z23" i="1"/>
  <c r="Z24" i="1"/>
  <c r="Z25" i="1"/>
</calcChain>
</file>

<file path=xl/sharedStrings.xml><?xml version="1.0" encoding="utf-8"?>
<sst xmlns="http://schemas.openxmlformats.org/spreadsheetml/2006/main" count="837" uniqueCount="308">
  <si>
    <t>S/N</t>
  </si>
  <si>
    <t>Owner</t>
  </si>
  <si>
    <t>Status</t>
  </si>
  <si>
    <t>%_Completion</t>
  </si>
  <si>
    <t>Quality_Checked</t>
  </si>
  <si>
    <t>Time_Alloted(hrs)</t>
  </si>
  <si>
    <t>Undone</t>
  </si>
  <si>
    <t>Complete</t>
  </si>
  <si>
    <t>%_Progress</t>
  </si>
  <si>
    <t>Total</t>
  </si>
  <si>
    <t>Yes</t>
  </si>
  <si>
    <t>No</t>
  </si>
  <si>
    <t>%</t>
  </si>
  <si>
    <t>Count</t>
  </si>
  <si>
    <t>Quality</t>
  </si>
  <si>
    <t>Start_Date</t>
  </si>
  <si>
    <t>End_Date</t>
  </si>
  <si>
    <t>Current_Date</t>
  </si>
  <si>
    <t>Overall Progress</t>
  </si>
  <si>
    <t>Percentage</t>
  </si>
  <si>
    <t>CountDown</t>
  </si>
  <si>
    <t>Comment</t>
  </si>
  <si>
    <t>Total Project days</t>
  </si>
  <si>
    <t>Last_Updated</t>
  </si>
  <si>
    <t>Time_Taken</t>
  </si>
  <si>
    <t>Estimated_End_Date</t>
  </si>
  <si>
    <t>holiday</t>
  </si>
  <si>
    <t>Task_ID</t>
  </si>
  <si>
    <t>Task</t>
  </si>
  <si>
    <t>Task_Owner</t>
  </si>
  <si>
    <t>Due_Today</t>
  </si>
  <si>
    <t>Please Add Comment</t>
  </si>
  <si>
    <t>Task-Completed</t>
  </si>
  <si>
    <t>InProgress</t>
  </si>
  <si>
    <t>InProgress_Count</t>
  </si>
  <si>
    <t>Alloted_Time</t>
  </si>
  <si>
    <t>All_Task_Count</t>
  </si>
  <si>
    <t>% Completion</t>
  </si>
  <si>
    <t xml:space="preserve"> </t>
  </si>
  <si>
    <t>% Contribution by Hours</t>
  </si>
  <si>
    <t>Hours_spent</t>
  </si>
  <si>
    <t>Expected_end_Date</t>
  </si>
  <si>
    <t>Days_Due</t>
  </si>
  <si>
    <t>Over Due Tasks
 (Moderate Risks)</t>
  </si>
  <si>
    <t>Over Due Tasks
 (High Risks)</t>
  </si>
  <si>
    <t>Overtime</t>
  </si>
  <si>
    <t>overall_status</t>
  </si>
  <si>
    <t>Task_Completed</t>
  </si>
  <si>
    <t>Name</t>
  </si>
  <si>
    <t>Structural_name</t>
  </si>
  <si>
    <t>start_Date</t>
  </si>
  <si>
    <t>Complete_Log</t>
  </si>
  <si>
    <t>Start_Log</t>
  </si>
  <si>
    <t>Comment_Log</t>
  </si>
  <si>
    <t>cumulative_alloted_time</t>
  </si>
  <si>
    <t>Column1</t>
  </si>
  <si>
    <t>column 2</t>
  </si>
  <si>
    <t>cumulative_time-taken</t>
  </si>
  <si>
    <t>hours_planned</t>
  </si>
  <si>
    <t>Hours_earned</t>
  </si>
  <si>
    <t>Emmanuel</t>
  </si>
  <si>
    <t>Team Leader</t>
  </si>
  <si>
    <t>Piping_Type</t>
  </si>
  <si>
    <t>Process Liquid (PL)</t>
  </si>
  <si>
    <t>Process Vapor (PV)</t>
  </si>
  <si>
    <t>Blowdown Vapor (BV)</t>
  </si>
  <si>
    <t>Closed Drain (CD)</t>
  </si>
  <si>
    <t>Instrument Air (IA)</t>
  </si>
  <si>
    <t>Fire Water (FW)</t>
  </si>
  <si>
    <t>Fire Gas (FG)</t>
  </si>
  <si>
    <t>Tosin</t>
  </si>
  <si>
    <t>Kalu</t>
  </si>
  <si>
    <t>Efua</t>
  </si>
  <si>
    <t>Tobechukwu</t>
  </si>
  <si>
    <t>Josephine</t>
  </si>
  <si>
    <t>Piping_Name</t>
  </si>
  <si>
    <t>Tosin Lasisi</t>
  </si>
  <si>
    <t>From_What_Equipment</t>
  </si>
  <si>
    <t>8"-PL-10004-61411</t>
  </si>
  <si>
    <t>8"-PL-10009-61411</t>
  </si>
  <si>
    <t>8"-PL-12004-61411</t>
  </si>
  <si>
    <t>2"-PL-10012-11411</t>
  </si>
  <si>
    <t>1"-BV-10015-31411</t>
  </si>
  <si>
    <t>2"-PL-10014-11411</t>
  </si>
  <si>
    <t>2"-BV-10016-11411</t>
  </si>
  <si>
    <t>8"-PL-10003-61411</t>
  </si>
  <si>
    <t>8"-PL-10008-61411</t>
  </si>
  <si>
    <t>8"-PL-12003-61411</t>
  </si>
  <si>
    <t>2"-PL-10013-11411</t>
  </si>
  <si>
    <t>8"-PL-10002-61411</t>
  </si>
  <si>
    <t>8"-PL-10007-61411</t>
  </si>
  <si>
    <t>8"-PL-12002-61411</t>
  </si>
  <si>
    <t>2"-PL-10014-61411</t>
  </si>
  <si>
    <t>1"-BV-10013-31411</t>
  </si>
  <si>
    <t>8"-PL-10001-61411</t>
  </si>
  <si>
    <t>8"-PL-10006-61411</t>
  </si>
  <si>
    <t>8"-PL-12001-61411</t>
  </si>
  <si>
    <t>2"-PL-10005-61411</t>
  </si>
  <si>
    <t>1"-BV-10012-31411</t>
  </si>
  <si>
    <t>1"-BV-10014-31411</t>
  </si>
  <si>
    <t>3"-PL-10125-61411</t>
  </si>
  <si>
    <t>3"-PL-1025T-61411</t>
  </si>
  <si>
    <t>3"-PL-1019L-61411</t>
  </si>
  <si>
    <t>3"-PL-10195-61411</t>
  </si>
  <si>
    <t>3"-PL-1008L-61411</t>
  </si>
  <si>
    <t>3"-PL-10085-61411</t>
  </si>
  <si>
    <t>3"-PL-1035S-61411</t>
  </si>
  <si>
    <t>3"-PL-1035L-61411</t>
  </si>
  <si>
    <t>3"-PL-1005L-61411</t>
  </si>
  <si>
    <t>3"-PL-1005S-61411</t>
  </si>
  <si>
    <t>3"-PL-1023L-61411</t>
  </si>
  <si>
    <t>3"-PL-1023S-61411</t>
  </si>
  <si>
    <t>SHEET 2</t>
  </si>
  <si>
    <t>3"-PL-1018T-61411</t>
  </si>
  <si>
    <t>3"-PL-1003S-61411</t>
  </si>
  <si>
    <t>3"-PL-1015T-61411</t>
  </si>
  <si>
    <t>3"-PL-10XXX-61411</t>
  </si>
  <si>
    <t>3"-PL-1009S-61411</t>
  </si>
  <si>
    <t>3"-PL-1016T-61411</t>
  </si>
  <si>
    <t>3"-PL-100XX-61411</t>
  </si>
  <si>
    <t>3"-PL-1013S-61411</t>
  </si>
  <si>
    <t>3"-PL-1026L-61411</t>
  </si>
  <si>
    <t>3"-PL-1028S-61411</t>
  </si>
  <si>
    <t>3"-PL-1014S-61411</t>
  </si>
  <si>
    <t>3"-PL-1006L-61411</t>
  </si>
  <si>
    <t>3"-PL-1006S-61411</t>
  </si>
  <si>
    <t>SHEET 3</t>
  </si>
  <si>
    <t>6"-PL-10005-61411</t>
  </si>
  <si>
    <t>3"-PL-1027L-61411</t>
  </si>
  <si>
    <t>3"-PL-1027S-61411</t>
  </si>
  <si>
    <t>3"-PL-1024T-61411</t>
  </si>
  <si>
    <t>3"-PL-1022T-61411</t>
  </si>
  <si>
    <t>3"-PL-1021T-61411</t>
  </si>
  <si>
    <t>3"-PL-1020T-61411</t>
  </si>
  <si>
    <t>3"-PL-1033S-61411</t>
  </si>
  <si>
    <t>3"-PL-1017L-61411</t>
  </si>
  <si>
    <t>3"-PL-1017S-61411</t>
  </si>
  <si>
    <t>SHEET 4</t>
  </si>
  <si>
    <t>3"-PL-1012L-61411</t>
  </si>
  <si>
    <t>3"-PL-1033L-61411</t>
  </si>
  <si>
    <t>3"-PL-1013L-61411</t>
  </si>
  <si>
    <t>3"-PL-1031S-61411</t>
  </si>
  <si>
    <t>3"-PL-1031L-61411</t>
  </si>
  <si>
    <t>3"-PL-1032L-61411</t>
  </si>
  <si>
    <t>3"-PL-1032S-61411</t>
  </si>
  <si>
    <t>8"-PL-1028L-61411</t>
  </si>
  <si>
    <t>3"-PL-1029L-61411</t>
  </si>
  <si>
    <t>8"-PL-1029S-61411</t>
  </si>
  <si>
    <t>3"-PL-1030L-61411</t>
  </si>
  <si>
    <t>3"-PL-1030S-61411</t>
  </si>
  <si>
    <t>3"-PL-1011L-61411</t>
  </si>
  <si>
    <t>3"-PL-1011S-61411</t>
  </si>
  <si>
    <t>SHEET 9</t>
  </si>
  <si>
    <t>4"-PL-12036-11411</t>
  </si>
  <si>
    <t>8"-PL-14012-11411</t>
  </si>
  <si>
    <t>8"-PL-14001-11411</t>
  </si>
  <si>
    <t>8"-PL-14002-11411</t>
  </si>
  <si>
    <t>4"-PL-12035-11411</t>
  </si>
  <si>
    <t>8"-PL-14004-11411</t>
  </si>
  <si>
    <t>10"-PV-12049-31411</t>
  </si>
  <si>
    <t>8"-PV-12048-31411</t>
  </si>
  <si>
    <t>6"-BV-18018-11411</t>
  </si>
  <si>
    <t>6"-BV-18020-11411</t>
  </si>
  <si>
    <t>4"-BV-18030-11411</t>
  </si>
  <si>
    <t>3"-BV-18029-31411</t>
  </si>
  <si>
    <t>3''-CD-20010-11411</t>
  </si>
  <si>
    <t>6"-CD-20005-11411</t>
  </si>
  <si>
    <t>16"-PL-14008-11411</t>
  </si>
  <si>
    <t>8"-PL-14003-11411</t>
  </si>
  <si>
    <t>16"-PL-14007-11411</t>
  </si>
  <si>
    <t>4"-PV-14006-11411</t>
  </si>
  <si>
    <t>2"-FG-22040-11411</t>
  </si>
  <si>
    <t>6"-PV-14010-11411</t>
  </si>
  <si>
    <t>6"-BV-18038-11411</t>
  </si>
  <si>
    <t>4"-BV-18037-31411</t>
  </si>
  <si>
    <t>6"-BV-18041-31411</t>
  </si>
  <si>
    <t>4"-BV-18040-31411</t>
  </si>
  <si>
    <t>8"-PV-12065-11411</t>
  </si>
  <si>
    <t>8"-PV-12064-11411</t>
  </si>
  <si>
    <t>10"-PV-12063-11411</t>
  </si>
  <si>
    <t>10"-PV-12062-11411</t>
  </si>
  <si>
    <t>3''-CD-20011-11411</t>
  </si>
  <si>
    <t>16"-PL-14009-11411</t>
  </si>
  <si>
    <t>3"-BV-18031-31411</t>
  </si>
  <si>
    <t>6"-PV-14011-11411</t>
  </si>
  <si>
    <t>6"-BV-18039-11411</t>
  </si>
  <si>
    <t>4"-BV-18036-11411</t>
  </si>
  <si>
    <t>6"-BV-18035-11411</t>
  </si>
  <si>
    <t>16"-BV-18042-11411</t>
  </si>
  <si>
    <t>4"-BV-18034-11411</t>
  </si>
  <si>
    <t>6"-BV-18033-11411</t>
  </si>
  <si>
    <t>4"-BV-18032-11411</t>
  </si>
  <si>
    <t>10"-PV-12061-11411</t>
  </si>
  <si>
    <t>16"-BV-18043-11411</t>
  </si>
  <si>
    <t>SHEET 8</t>
  </si>
  <si>
    <t>6''CD-20005-11411</t>
  </si>
  <si>
    <t>4''-PL-12035-31411</t>
  </si>
  <si>
    <t>4''-PL-12015-11411</t>
  </si>
  <si>
    <t>8''-PL-12008-61411</t>
  </si>
  <si>
    <t>8''-PL-12001-61411</t>
  </si>
  <si>
    <t>8''-PL-12003-61411</t>
  </si>
  <si>
    <t>3''-CD-20008-11411</t>
  </si>
  <si>
    <t>3''-CD-20007-11411</t>
  </si>
  <si>
    <t>6''-PL-120533-31411</t>
  </si>
  <si>
    <t>4''-PL-12052-61411</t>
  </si>
  <si>
    <t>8''-PL-12051-61411</t>
  </si>
  <si>
    <t>6''-PL-12002-61411</t>
  </si>
  <si>
    <t>4''-BV-18025-31411</t>
  </si>
  <si>
    <t>6''-BV-18026-14111</t>
  </si>
  <si>
    <t>10''-PV-12049-31411</t>
  </si>
  <si>
    <t>6''-BV-18018-11411</t>
  </si>
  <si>
    <t>6''-BV-18020-11411</t>
  </si>
  <si>
    <t>6''-PV-12059-31411</t>
  </si>
  <si>
    <t>8''-PL-14001-11411</t>
  </si>
  <si>
    <t>8''-PL-14012-11411</t>
  </si>
  <si>
    <t>3''-CD-20009-11411</t>
  </si>
  <si>
    <t>4''-PL-12056-11411</t>
  </si>
  <si>
    <t>6''-PL-12058-31411</t>
  </si>
  <si>
    <t>4''-PL-12057-11411</t>
  </si>
  <si>
    <t>6''-PV-12060-31411</t>
  </si>
  <si>
    <t>6''-BV-18028-11411</t>
  </si>
  <si>
    <t>SHEET 7</t>
  </si>
  <si>
    <t>4"-PL-12036-31411</t>
  </si>
  <si>
    <t>4"-CD-20005-31411</t>
  </si>
  <si>
    <t>6"-PL-12038-11411</t>
  </si>
  <si>
    <t>8"-PL-12041-31411</t>
  </si>
  <si>
    <t>6"-PL-12040-31411</t>
  </si>
  <si>
    <t>8"-PL-12039-31411</t>
  </si>
  <si>
    <t>4"-PV-12042-31411</t>
  </si>
  <si>
    <t>6"-PV-12041-31411</t>
  </si>
  <si>
    <t>3"-BV-18021-31411</t>
  </si>
  <si>
    <t>4"-BV-18022-11411</t>
  </si>
  <si>
    <t>2"-FG-22002-11411</t>
  </si>
  <si>
    <t>4"-PV-12043-31411</t>
  </si>
  <si>
    <t>2"-FG-22001-11411</t>
  </si>
  <si>
    <t>4"-PV-12017-31411</t>
  </si>
  <si>
    <t>6"-PV-12046-31411</t>
  </si>
  <si>
    <t>4"-BV-18023-31411</t>
  </si>
  <si>
    <t>8"-PL-12044-31411</t>
  </si>
  <si>
    <t>3"-CD-20006-11411</t>
  </si>
  <si>
    <t>6"-PL-12045-31411</t>
  </si>
  <si>
    <t>SHEET 6</t>
  </si>
  <si>
    <t>8''-PL-12002-61411</t>
  </si>
  <si>
    <t>3"-CD-20002-11411</t>
  </si>
  <si>
    <t>2"-PL-12010-11411</t>
  </si>
  <si>
    <t>3"-CD-20001-11411</t>
  </si>
  <si>
    <t>8"-PL-12005-61411</t>
  </si>
  <si>
    <t>4"-PL-12007-31411</t>
  </si>
  <si>
    <t>3"-PL-12009-11411</t>
  </si>
  <si>
    <t>4"-PL-12008-31411</t>
  </si>
  <si>
    <t>3"-PL-12011-61411</t>
  </si>
  <si>
    <t>3"-PL-12012-61411</t>
  </si>
  <si>
    <t>3"-PL-12013-31411</t>
  </si>
  <si>
    <t>3"-PL-12016-31411</t>
  </si>
  <si>
    <t>4"-PL-18017-31411</t>
  </si>
  <si>
    <t>4"-PV-12019-31411</t>
  </si>
  <si>
    <t>6"-PV-12016-31411</t>
  </si>
  <si>
    <t>2"-PV-12017-31411</t>
  </si>
  <si>
    <t>4"-PV-12018-31411</t>
  </si>
  <si>
    <t>4"-PL-12016-11411</t>
  </si>
  <si>
    <t>4"-PL-12017-11411</t>
  </si>
  <si>
    <t>4"-PL-12015-11411</t>
  </si>
  <si>
    <t>3"-CD-20003-11411</t>
  </si>
  <si>
    <t>6"-PL-12002-31411</t>
  </si>
  <si>
    <t>2"-PL-16011-61411</t>
  </si>
  <si>
    <t>3"-PL-12033-31411</t>
  </si>
  <si>
    <t>2"-PL-12023-31411</t>
  </si>
  <si>
    <t>3"-CD-20004-11411</t>
  </si>
  <si>
    <t>8"-PL-12006-61411</t>
  </si>
  <si>
    <t>4"-BV-18019-31411</t>
  </si>
  <si>
    <t>2"-PV-12027-31411</t>
  </si>
  <si>
    <t>6"-PV-12021-31411</t>
  </si>
  <si>
    <t>6"-PV-12020-31411</t>
  </si>
  <si>
    <t>4"-PL-12025-31411</t>
  </si>
  <si>
    <t>3"-PL-12034-31411</t>
  </si>
  <si>
    <t>4"-PL-12026-61411</t>
  </si>
  <si>
    <t>4"-PL-12024-31411</t>
  </si>
  <si>
    <t>6"-PV-12028-61411</t>
  </si>
  <si>
    <t>4"-PV-12029-61411</t>
  </si>
  <si>
    <t>2"-PV-12030-61411</t>
  </si>
  <si>
    <t>6"-PV-12031-61411</t>
  </si>
  <si>
    <t>4"-PV-12032-61411</t>
  </si>
  <si>
    <t>4"-PL-12035-31411</t>
  </si>
  <si>
    <t>SHEET 5</t>
  </si>
  <si>
    <t>3"-BV-18011-61411</t>
  </si>
  <si>
    <t>6"-BV-18009-11411</t>
  </si>
  <si>
    <t>3"-PL-1019S-61411</t>
  </si>
  <si>
    <t>3"-PL-1039S-61411</t>
  </si>
  <si>
    <t>3"-PL-1041L-61411</t>
  </si>
  <si>
    <t>3"-PL-1041S-61411</t>
  </si>
  <si>
    <t>3"-PL-1036L-61411</t>
  </si>
  <si>
    <t>3"-PL-1036S-61411</t>
  </si>
  <si>
    <t>3"-PL-1037L-61411</t>
  </si>
  <si>
    <t>3"-PL-1037S-61411</t>
  </si>
  <si>
    <t>3"-PL-1038L-61411</t>
  </si>
  <si>
    <t>3"-PL-1038S-61411</t>
  </si>
  <si>
    <t>3"-PL-1039L-61411</t>
  </si>
  <si>
    <t>3"-PL-1040L-61411</t>
  </si>
  <si>
    <t>3"-PL-1040S-61411</t>
  </si>
  <si>
    <t>2"-BV-18006-61411</t>
  </si>
  <si>
    <t>2"-BV-18005-61411</t>
  </si>
  <si>
    <t>3"-BV-18004-11411</t>
  </si>
  <si>
    <t>3"-BV-18003-11411</t>
  </si>
  <si>
    <t>6"-BV-18021-11411</t>
  </si>
  <si>
    <t>3"-BV-18002-11411</t>
  </si>
  <si>
    <t>3"-BV-18001-11411</t>
  </si>
  <si>
    <t>2"-BV-18007-61411</t>
  </si>
  <si>
    <t>2"-BV-18008-61411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</si>
</sst>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&quot;%&quot;"/>
    <numFmt numFmtId="165" formatCode="[$-F800]dddd\,\ mmmm\ dd\,\ yyyy"/>
    <numFmt numFmtId="166" formatCode="[$-F400]h:mm:ss\ AM/PM"/>
    <numFmt numFmtId="167" formatCode="dd/mm/yyyy\ hh:mm:ss"/>
    <numFmt numFmtId="168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22" fontId="0" fillId="0" borderId="1" xfId="0" applyNumberFormat="1" applyBorder="1" applyProtection="1">
      <protection locked="0"/>
    </xf>
    <xf numFmtId="0" fontId="3" fillId="0" borderId="1" xfId="0" applyFont="1" applyBorder="1" applyProtection="1">
      <protection locked="0"/>
    </xf>
    <xf numFmtId="167" fontId="0" fillId="0" borderId="1" xfId="0" applyNumberFormat="1" applyBorder="1" applyProtection="1">
      <protection locked="0"/>
    </xf>
    <xf numFmtId="166" fontId="0" fillId="0" borderId="1" xfId="0" applyNumberFormat="1" applyBorder="1" applyProtection="1">
      <protection locked="0"/>
    </xf>
    <xf numFmtId="0" fontId="0" fillId="0" borderId="1" xfId="1" applyNumberFormat="1" applyFont="1" applyBorder="1" applyProtection="1">
      <protection locked="0"/>
    </xf>
    <xf numFmtId="0" fontId="3" fillId="0" borderId="0" xfId="0" applyFont="1"/>
    <xf numFmtId="167" fontId="0" fillId="0" borderId="1" xfId="0" applyNumberFormat="1" applyBorder="1"/>
    <xf numFmtId="22" fontId="0" fillId="0" borderId="1" xfId="0" applyNumberFormat="1" applyBorder="1"/>
    <xf numFmtId="165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1" fontId="0" fillId="0" borderId="0" xfId="0" applyNumberFormat="1"/>
    <xf numFmtId="0" fontId="2" fillId="4" borderId="0" xfId="0" applyFont="1" applyFill="1"/>
    <xf numFmtId="164" fontId="0" fillId="0" borderId="0" xfId="0" applyNumberFormat="1"/>
    <xf numFmtId="0" fontId="3" fillId="3" borderId="0" xfId="0" applyFont="1" applyFill="1" applyAlignment="1">
      <alignment horizontal="center" vertical="center"/>
    </xf>
    <xf numFmtId="164" fontId="3" fillId="0" borderId="0" xfId="0" applyNumberFormat="1" applyFont="1"/>
    <xf numFmtId="168" fontId="0" fillId="0" borderId="0" xfId="0" applyNumberFormat="1"/>
    <xf numFmtId="2" fontId="0" fillId="0" borderId="0" xfId="0" applyNumberFormat="1"/>
    <xf numFmtId="0" fontId="3" fillId="2" borderId="1" xfId="0" applyFont="1" applyFill="1" applyBorder="1" applyAlignment="1" applyProtection="1">
      <alignment horizontal="center" vertical="center"/>
      <protection locked="0"/>
    </xf>
    <xf numFmtId="167" fontId="3" fillId="2" borderId="1" xfId="0" applyNumberFormat="1" applyFont="1" applyFill="1" applyBorder="1" applyAlignment="1">
      <alignment horizontal="center" vertical="center"/>
    </xf>
    <xf numFmtId="22" fontId="3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3" fillId="0" borderId="1" xfId="0" applyFont="1" applyBorder="1"/>
    <xf numFmtId="1" fontId="0" fillId="0" borderId="1" xfId="0" applyNumberFormat="1" applyBorder="1"/>
    <xf numFmtId="22" fontId="3" fillId="0" borderId="1" xfId="0" applyNumberFormat="1" applyFont="1" applyBorder="1"/>
    <xf numFmtId="2" fontId="3" fillId="0" borderId="1" xfId="0" applyNumberFormat="1" applyFont="1" applyBorder="1"/>
    <xf numFmtId="0" fontId="3" fillId="2" borderId="2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203">
    <dxf>
      <numFmt numFmtId="0" formatCode="General"/>
    </dxf>
    <dxf>
      <numFmt numFmtId="165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  <protection locked="1" hidden="0"/>
    </dxf>
    <dxf>
      <numFmt numFmtId="0" formatCode="General"/>
      <protection locked="1" hidden="0"/>
    </dxf>
    <dxf>
      <numFmt numFmtId="1" formatCode="0"/>
    </dxf>
    <dxf>
      <numFmt numFmtId="168" formatCode="0.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0" formatCode="General"/>
      <protection locked="1" hidden="0"/>
    </dxf>
    <dxf>
      <numFmt numFmtId="164" formatCode="#&quot;%&quot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0" formatCode="General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7C80"/>
      </font>
      <fill>
        <patternFill>
          <bgColor rgb="FFC0000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42020"/>
      <color rgb="FFFF9966"/>
      <color rgb="FFDA0000"/>
      <color rgb="FFFFFFFF"/>
      <color rgb="FF13223D"/>
      <color rgb="FFED7D31"/>
      <color rgb="FFB293B3"/>
      <color rgb="FFF7F7F7"/>
      <color rgb="FFF9FAFD"/>
      <color rgb="FF1A2E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0513335662936"/>
          <c:y val="0.18811890227028547"/>
          <c:w val="0.79236775435213824"/>
          <c:h val="0.81051556114429424"/>
        </c:manualLayout>
      </c:layout>
      <c:barChart>
        <c:barDir val="bar"/>
        <c:grouping val="clustered"/>
        <c:varyColors val="0"/>
        <c:ser>
          <c:idx val="0"/>
          <c:order val="0"/>
          <c:tx>
            <c:v>Count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Piping_Summary!$G$4:$G$10</c:f>
              <c:numCache>
                <c:formatCode>General</c:formatCode>
                <c:ptCount val="7"/>
                <c:pt idx="0">
                  <c:v>168</c:v>
                </c:pt>
                <c:pt idx="1">
                  <c:v>35</c:v>
                </c:pt>
                <c:pt idx="2">
                  <c:v>50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8-4F79-8569-A021D9317257}"/>
            </c:ext>
          </c:extLst>
        </c:ser>
        <c:ser>
          <c:idx val="1"/>
          <c:order val="1"/>
          <c:tx>
            <c:v>Completed</c:v>
          </c:tx>
          <c:spPr>
            <a:solidFill>
              <a:schemeClr val="accent1">
                <a:lumMod val="50000"/>
              </a:schemeClr>
            </a:solidFill>
            <a:ln>
              <a:solidFill>
                <a:srgbClr val="FFFFFF">
                  <a:alpha val="99000"/>
                </a:srgb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Piping_Summary!$I$4:$I$10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8-4F79-8569-A021D93172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6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39762535864086"/>
          <c:y val="2.9889894950299523E-2"/>
          <c:w val="0.27612140361697363"/>
          <c:h val="0.1576104973242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702861160302298"/>
          <c:y val="0.16055846422338568"/>
          <c:w val="0.782971388396977"/>
          <c:h val="0.831348201893611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Piping_Summary!$J$3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Piping_Summary!$J$4:$J$10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C-4D84-8DC5-D5C286BAA877}"/>
            </c:ext>
          </c:extLst>
        </c:ser>
        <c:ser>
          <c:idx val="1"/>
          <c:order val="1"/>
          <c:tx>
            <c:strRef>
              <c:f>Piping_Summary!$K$3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Piping_Summary!$K$4:$K$10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C-4D84-8DC5-D5C286BAA8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8203760"/>
        <c:axId val="698200880"/>
      </c:barChart>
      <c:catAx>
        <c:axId val="69820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658675128295529"/>
          <c:y val="3.0634181198554371E-2"/>
          <c:w val="0.38386100991107452"/>
          <c:h val="0.15270588558629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66555401969453E-2"/>
          <c:y val="0.17226879357586608"/>
          <c:w val="0.928634974791959"/>
          <c:h val="0.3911845730027548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Piping_Summary!$P$25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Piping_Summary!$P$32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02A-8B6E-0C21113AB3C6}"/>
            </c:ext>
          </c:extLst>
        </c:ser>
        <c:ser>
          <c:idx val="1"/>
          <c:order val="1"/>
          <c:tx>
            <c:strRef>
              <c:f>Piping_Summary!$Q$25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Piping_Summary!$Q$32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02A-8B6E-0C21113AB3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1"/>
        <c:axPos val="l"/>
        <c:majorTickMark val="none"/>
        <c:minorTickMark val="none"/>
        <c:tickLblPos val="nextTo"/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7827835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ayout>
        <c:manualLayout>
          <c:xMode val="edge"/>
          <c:yMode val="edge"/>
          <c:x val="2.7242605616975033E-2"/>
          <c:y val="0.4236517531463409"/>
          <c:w val="0.71250275438899191"/>
          <c:h val="0.38760848494713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836029280242228E-2"/>
          <c:y val="8.1877041431424019E-2"/>
          <c:w val="0.88765588593463862"/>
          <c:h val="0.78266656585885619"/>
        </c:manualLayout>
      </c:layout>
      <c:lineChart>
        <c:grouping val="standard"/>
        <c:varyColors val="0"/>
        <c:ser>
          <c:idx val="0"/>
          <c:order val="0"/>
          <c:tx>
            <c:v>Planned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Piping_Data!$AD$28:$AD$28</c:f>
            </c:numRef>
          </c:val>
          <c:smooth val="0"/>
          <c:extLst>
            <c:ext xmlns:c16="http://schemas.microsoft.com/office/drawing/2014/chart" uri="{C3380CC4-5D6E-409C-BE32-E72D297353CC}">
              <c16:uniqueId val="{00000000-6DA9-4BE2-90A0-3175232FFFE5}"/>
            </c:ext>
          </c:extLst>
        </c:ser>
        <c:ser>
          <c:idx val="1"/>
          <c:order val="1"/>
          <c:tx>
            <c:v>Earned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Piping_Data!$AF$28:$AF$28</c:f>
            </c:numRef>
          </c:val>
          <c:smooth val="0"/>
          <c:extLst>
            <c:ext xmlns:c16="http://schemas.microsoft.com/office/drawing/2014/chart" uri="{C3380CC4-5D6E-409C-BE32-E72D297353CC}">
              <c16:uniqueId val="{00000001-6DA9-4BE2-90A0-3175232FFFE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041688"/>
        <c:axId val="826042048"/>
      </c:lineChart>
      <c:catAx>
        <c:axId val="82604168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826042048"/>
        <c:crosses val="autoZero"/>
        <c:auto val="1"/>
        <c:lblAlgn val="ctr"/>
        <c:lblOffset val="100"/>
        <c:noMultiLvlLbl val="0"/>
      </c:catAx>
      <c:valAx>
        <c:axId val="826042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2604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2931331330578421E-2"/>
          <c:y val="4.7813378954728501E-2"/>
          <c:w val="0.17785399038201"/>
          <c:h val="0.25121540812217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rgbClr val="FFFFFF">
                  <a:alpha val="0"/>
                </a:srgb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33-4E28-8EE4-CAB53D0F9F8A}"/>
              </c:ext>
            </c:extLst>
          </c:dPt>
          <c:dPt>
            <c:idx val="1"/>
            <c:bubble3D val="0"/>
            <c:spPr>
              <a:solidFill>
                <a:srgbClr val="ED7D31">
                  <a:alpha val="0"/>
                </a:srgb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33-4E28-8EE4-CAB53D0F9F8A}"/>
              </c:ext>
            </c:extLst>
          </c:dPt>
          <c:cat>
            <c:strRef>
              <c:f>Piping_Summary!$B$5:$B$6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Piping_Summary!$C$5:$C$6</c:f>
              <c:numCache>
                <c:formatCode>#"%"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33-4E28-8EE4-CAB53D0F9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341745255177659"/>
          <c:y val="0.18503073160092684"/>
          <c:w val="0.50395714499112032"/>
          <c:h val="0.565986650283724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2A-4729-B37E-BD7364002F5A}"/>
              </c:ext>
            </c:extLst>
          </c:dPt>
          <c:dPt>
            <c:idx val="1"/>
            <c:bubble3D val="0"/>
            <c:spPr>
              <a:solidFill>
                <a:srgbClr val="FFFFFF">
                  <a:alpha val="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2A-4729-B37E-BD7364002F5A}"/>
              </c:ext>
            </c:extLst>
          </c:dPt>
          <c:val>
            <c:numRef>
              <c:f>Piping_Summary!$F$16:$F$17</c:f>
              <c:numCache>
                <c:formatCode>#"%"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2A-4729-B37E-BD736400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7"/>
        <c:holeSize val="7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rgbClr val="FFFFFF"/>
              </a:solidFill>
            </a:ln>
          </c:spPr>
          <c:dPt>
            <c:idx val="0"/>
            <c:bubble3D val="0"/>
            <c:spPr>
              <a:solidFill>
                <a:srgbClr val="DA00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1A-402F-A5D7-F61BF81ACD6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1A-402F-A5D7-F61BF81ACD6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1A-402F-A5D7-F61BF81ACD63}"/>
              </c:ext>
            </c:extLst>
          </c:dPt>
          <c:dLbls>
            <c:delete val="1"/>
          </c:dLbls>
          <c:cat>
            <c:strRef>
              <c:f>Piping_Summary!$M$3:$O$3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Piping_Summary!$M$14:$O$14</c:f>
              <c:numCache>
                <c:formatCode>General</c:formatCode>
                <c:ptCount val="3"/>
                <c:pt idx="0">
                  <c:v>11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A-402F-A5D7-F61BF81ACD6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8910837377714"/>
          <c:y val="9.8397363581044589E-2"/>
          <c:w val="0.34063650294096809"/>
          <c:h val="0.78582628533400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 w="0">
              <a:solidFill>
                <a:srgbClr val="FFFFFF">
                  <a:alpha val="0"/>
                </a:srgb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A00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C7-4A0B-95B9-E29E0963F82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C7-4A0B-95B9-E29E0963F822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C7-4A0B-95B9-E29E0963F8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Piping_Summary!$M$14:$O$14</c:f>
              <c:numCache>
                <c:formatCode>General</c:formatCode>
                <c:ptCount val="3"/>
                <c:pt idx="0">
                  <c:v>11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C7-4A0B-95B9-E29E0963F8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528216864"/>
        <c:axId val="528225504"/>
      </c:barChart>
      <c:valAx>
        <c:axId val="5282255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16864"/>
        <c:crosses val="autoZero"/>
        <c:crossBetween val="between"/>
      </c:valAx>
      <c:catAx>
        <c:axId val="528216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22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B3-4E65-A38F-E2789B0AAD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B3-4E65-A38F-E2789B0AAD77}"/>
              </c:ext>
            </c:extLst>
          </c:dPt>
          <c:cat>
            <c:strRef>
              <c:f>Piping_Summary!$B$5:$B$6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Piping_Summary!$C$5:$C$6</c:f>
              <c:numCache>
                <c:formatCode>#"%"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B-4423-9C5A-56FEB9E23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Piping_Summary!$R$3</c:f>
              <c:strCache>
                <c:ptCount val="1"/>
                <c:pt idx="0">
                  <c:v>InProgress_Count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Piping_Summary!$Q$4:$Q$12</c:f>
              <c:numCache>
                <c:formatCode>#"%"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cat>
          <c:val>
            <c:numRef>
              <c:f>Piping_Summary!$R$4:$R$12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0-4BD9-BE95-86970F5B9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034336"/>
        <c:axId val="528032536"/>
      </c:barChart>
      <c:catAx>
        <c:axId val="528034336"/>
        <c:scaling>
          <c:orientation val="minMax"/>
        </c:scaling>
        <c:delete val="0"/>
        <c:axPos val="b"/>
        <c:numFmt formatCode="#&quot;%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2536"/>
        <c:crosses val="autoZero"/>
        <c:auto val="1"/>
        <c:lblAlgn val="ctr"/>
        <c:lblOffset val="100"/>
        <c:noMultiLvlLbl val="0"/>
      </c:catAx>
      <c:valAx>
        <c:axId val="52803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Piping_Summary!$M$26:$M$32</c:f>
              <c:strCache>
                <c:ptCount val="6"/>
                <c:pt idx="0">
                  <c:v>Tosin</c:v>
                </c:pt>
                <c:pt idx="1">
                  <c:v>Emmanuel</c:v>
                </c:pt>
                <c:pt idx="2">
                  <c:v>Kalu</c:v>
                </c:pt>
                <c:pt idx="3">
                  <c:v>Efua</c:v>
                </c:pt>
                <c:pt idx="4">
                  <c:v>Tobechukwu</c:v>
                </c:pt>
                <c:pt idx="5">
                  <c:v>Josephine</c:v>
                </c:pt>
              </c:strCache>
            </c:strRef>
          </c:cat>
          <c:val>
            <c:numRef>
              <c:f>Piping_Summary!$N$26:$N$32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31</c:v>
                </c:pt>
                <c:pt idx="3">
                  <c:v>18</c:v>
                </c:pt>
                <c:pt idx="4">
                  <c:v>43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4-4C3D-8888-CB7FA89AA3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8223704"/>
        <c:axId val="528220104"/>
      </c:barChart>
      <c:catAx>
        <c:axId val="52822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220104"/>
        <c:crosses val="autoZero"/>
        <c:auto val="1"/>
        <c:lblAlgn val="ctr"/>
        <c:lblOffset val="100"/>
        <c:noMultiLvlLbl val="0"/>
      </c:catAx>
      <c:valAx>
        <c:axId val="5282201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2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Piping_Summary!$M$26:$M$32</c:f>
              <c:strCache>
                <c:ptCount val="6"/>
                <c:pt idx="0">
                  <c:v>Tosin</c:v>
                </c:pt>
                <c:pt idx="1">
                  <c:v>Emmanuel</c:v>
                </c:pt>
                <c:pt idx="2">
                  <c:v>Kalu</c:v>
                </c:pt>
                <c:pt idx="3">
                  <c:v>Efua</c:v>
                </c:pt>
                <c:pt idx="4">
                  <c:v>Tobechukwu</c:v>
                </c:pt>
                <c:pt idx="5">
                  <c:v>Josephine</c:v>
                </c:pt>
              </c:strCache>
            </c:strRef>
          </c:cat>
          <c:val>
            <c:numRef>
              <c:f>Piping_Summary!$P$26:$P$32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A-4D3D-9307-AC63A31BC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4995184"/>
        <c:axId val="604989424"/>
      </c:barChart>
      <c:catAx>
        <c:axId val="60499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89424"/>
        <c:crosses val="autoZero"/>
        <c:auto val="1"/>
        <c:lblAlgn val="ctr"/>
        <c:lblOffset val="100"/>
        <c:noMultiLvlLbl val="0"/>
      </c:catAx>
      <c:valAx>
        <c:axId val="6049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9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Piping_Summary!$H$4:$H$10</c:f>
              <c:numCache>
                <c:formatCode>0</c:formatCode>
                <c:ptCount val="7"/>
                <c:pt idx="0">
                  <c:v>61.313868613138688</c:v>
                </c:pt>
                <c:pt idx="1">
                  <c:v>12.773722627737227</c:v>
                </c:pt>
                <c:pt idx="2">
                  <c:v>18.248175182481752</c:v>
                </c:pt>
                <c:pt idx="3">
                  <c:v>6.2043795620437958</c:v>
                </c:pt>
                <c:pt idx="4">
                  <c:v>0</c:v>
                </c:pt>
                <c:pt idx="5">
                  <c:v>0</c:v>
                </c:pt>
                <c:pt idx="6">
                  <c:v>1.4598540145985401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8-4766-A7F2-1A313E5E8F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Piping_Summary!$I$4:$I$10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4-4CCD-B929-4E8BD725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Piping_Summary!$N$25</c:f>
              <c:strCache>
                <c:ptCount val="1"/>
                <c:pt idx="0">
                  <c:v>All_Task_Count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Piping_Summary!$M$26:$M$32</c:f>
              <c:strCache>
                <c:ptCount val="6"/>
                <c:pt idx="0">
                  <c:v>Tosin</c:v>
                </c:pt>
                <c:pt idx="1">
                  <c:v>Emmanuel</c:v>
                </c:pt>
                <c:pt idx="2">
                  <c:v>Kalu</c:v>
                </c:pt>
                <c:pt idx="3">
                  <c:v>Efua</c:v>
                </c:pt>
                <c:pt idx="4">
                  <c:v>Tobechukwu</c:v>
                </c:pt>
                <c:pt idx="5">
                  <c:v>Josephine</c:v>
                </c:pt>
              </c:strCache>
            </c:strRef>
          </c:cat>
          <c:val>
            <c:numRef>
              <c:f>Piping_Summary!$N$26:$N$32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31</c:v>
                </c:pt>
                <c:pt idx="3">
                  <c:v>18</c:v>
                </c:pt>
                <c:pt idx="4">
                  <c:v>43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9-4ECD-B6D7-48B335C18701}"/>
            </c:ext>
          </c:extLst>
        </c:ser>
        <c:ser>
          <c:idx val="1"/>
          <c:order val="1"/>
          <c:tx>
            <c:strRef>
              <c:f>Piping_Summary!$O$25</c:f>
              <c:strCache>
                <c:ptCount val="1"/>
                <c:pt idx="0">
                  <c:v>Task-Completed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Piping_Summary!$M$26:$M$32</c:f>
              <c:strCache>
                <c:ptCount val="6"/>
                <c:pt idx="0">
                  <c:v>Tosin</c:v>
                </c:pt>
                <c:pt idx="1">
                  <c:v>Emmanuel</c:v>
                </c:pt>
                <c:pt idx="2">
                  <c:v>Kalu</c:v>
                </c:pt>
                <c:pt idx="3">
                  <c:v>Efua</c:v>
                </c:pt>
                <c:pt idx="4">
                  <c:v>Tobechukwu</c:v>
                </c:pt>
                <c:pt idx="5">
                  <c:v>Josephine</c:v>
                </c:pt>
              </c:strCache>
            </c:strRef>
          </c:cat>
          <c:val>
            <c:numRef>
              <c:f>Piping_Summary!$O$26:$O$32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9-4ECD-B6D7-48B335C1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2728"/>
        <c:axId val="743043808"/>
      </c:barChart>
      <c:catAx>
        <c:axId val="743042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3808"/>
        <c:crosses val="autoZero"/>
        <c:auto val="1"/>
        <c:lblAlgn val="ctr"/>
        <c:lblOffset val="100"/>
        <c:noMultiLvlLbl val="0"/>
      </c:catAx>
      <c:valAx>
        <c:axId val="743043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2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063552616299434E-2"/>
          <c:y val="6.9444444444444448E-2"/>
          <c:w val="0.94637169177734459"/>
          <c:h val="0.73577136191309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Piping_Summary!$Q$25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Piping_Summary!$M$26:$M$32</c:f>
              <c:strCache>
                <c:ptCount val="6"/>
                <c:pt idx="0">
                  <c:v>Tosin</c:v>
                </c:pt>
                <c:pt idx="1">
                  <c:v>Emmanuel</c:v>
                </c:pt>
                <c:pt idx="2">
                  <c:v>Kalu</c:v>
                </c:pt>
                <c:pt idx="3">
                  <c:v>Efua</c:v>
                </c:pt>
                <c:pt idx="4">
                  <c:v>Tobechukwu</c:v>
                </c:pt>
                <c:pt idx="5">
                  <c:v>Josephine</c:v>
                </c:pt>
              </c:strCache>
            </c:strRef>
          </c:cat>
          <c:val>
            <c:numRef>
              <c:f>Piping_Summary!$Q$26:$Q$32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E-4A03-B521-A7D2E071F5B5}"/>
            </c:ext>
          </c:extLst>
        </c:ser>
        <c:ser>
          <c:idx val="1"/>
          <c:order val="1"/>
          <c:tx>
            <c:strRef>
              <c:f>Piping_Summary!$P$25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Piping_Summary!$M$26:$M$32</c:f>
              <c:strCache>
                <c:ptCount val="6"/>
                <c:pt idx="0">
                  <c:v>Tosin</c:v>
                </c:pt>
                <c:pt idx="1">
                  <c:v>Emmanuel</c:v>
                </c:pt>
                <c:pt idx="2">
                  <c:v>Kalu</c:v>
                </c:pt>
                <c:pt idx="3">
                  <c:v>Efua</c:v>
                </c:pt>
                <c:pt idx="4">
                  <c:v>Tobechukwu</c:v>
                </c:pt>
                <c:pt idx="5">
                  <c:v>Josephine</c:v>
                </c:pt>
              </c:strCache>
            </c:strRef>
          </c:cat>
          <c:val>
            <c:numRef>
              <c:f>Piping_Summary!$P$26:$P$32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E-4A03-B521-A7D2E071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6688"/>
        <c:axId val="743047768"/>
      </c:barChart>
      <c:catAx>
        <c:axId val="74304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7768"/>
        <c:crosses val="autoZero"/>
        <c:auto val="1"/>
        <c:lblAlgn val="ctr"/>
        <c:lblOffset val="100"/>
        <c:noMultiLvlLbl val="0"/>
      </c:catAx>
      <c:valAx>
        <c:axId val="743047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2E-4294-A73D-7DE28AD83B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2E-4294-A73D-7DE28AD83B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2E-4294-A73D-7DE28AD83B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2E-4294-A73D-7DE28AD83B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B0-411C-9835-D7EA71997FC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6FE-4228-BE2C-CAC5041D8C22}"/>
              </c:ext>
            </c:extLst>
          </c:dPt>
          <c:cat>
            <c:strRef>
              <c:f>Piping_Summary!$M$26:$M$32</c:f>
              <c:strCache>
                <c:ptCount val="6"/>
                <c:pt idx="0">
                  <c:v>Tosin</c:v>
                </c:pt>
                <c:pt idx="1">
                  <c:v>Emmanuel</c:v>
                </c:pt>
                <c:pt idx="2">
                  <c:v>Kalu</c:v>
                </c:pt>
                <c:pt idx="3">
                  <c:v>Efua</c:v>
                </c:pt>
                <c:pt idx="4">
                  <c:v>Tobechukwu</c:v>
                </c:pt>
                <c:pt idx="5">
                  <c:v>Josephine</c:v>
                </c:pt>
              </c:strCache>
            </c:strRef>
          </c:cat>
          <c:val>
            <c:numRef>
              <c:f>Piping_Summary!$R$26:$R$32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1-4708-B118-7BD014F09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Piping_Summary!$P$25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Piping_Summary!$P$32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D-49EC-A3C7-87243A1E52C3}"/>
            </c:ext>
          </c:extLst>
        </c:ser>
        <c:ser>
          <c:idx val="1"/>
          <c:order val="1"/>
          <c:tx>
            <c:strRef>
              <c:f>Piping_Summary!$Q$25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Piping_Summary!$Q$32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D-49EC-A3C7-87243A1E52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4.7796404423955816E-2"/>
          <c:w val="0.90286351706036749"/>
          <c:h val="0.708183962441674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Piping_Summary!$J$3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Piping_Summary!$J$4:$J$10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9-452A-B08D-0B5A02AADAC8}"/>
            </c:ext>
          </c:extLst>
        </c:ser>
        <c:ser>
          <c:idx val="1"/>
          <c:order val="1"/>
          <c:tx>
            <c:strRef>
              <c:f>Piping_Summary!$K$3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Piping_Summary!$F$4:$F$10</c:f>
              <c:strCache>
                <c:ptCount val="7"/>
                <c:pt idx="0">
                  <c:v>Process Liquid (PL)</c:v>
                </c:pt>
                <c:pt idx="1">
                  <c:v>Process Vapor (PV)</c:v>
                </c:pt>
                <c:pt idx="2">
                  <c:v>Blowdown Vapor (BV)</c:v>
                </c:pt>
                <c:pt idx="3">
                  <c:v>Closed Drain (CD)</c:v>
                </c:pt>
                <c:pt idx="4">
                  <c:v>Instrument Air (IA)</c:v>
                </c:pt>
                <c:pt idx="5">
                  <c:v>Fire Water (FW)</c:v>
                </c:pt>
                <c:pt idx="6">
                  <c:v>Fire Gas (FG)</c:v>
                </c:pt>
              </c:strCache>
            </c:strRef>
          </c:cat>
          <c:val>
            <c:numRef>
              <c:f>Piping_Summary!$K$4:$K$10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9-452A-B08D-0B5A02AAD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203760"/>
        <c:axId val="698200880"/>
      </c:barChart>
      <c:catAx>
        <c:axId val="6982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3910761154855"/>
          <c:y val="3.7615193934091559E-2"/>
          <c:w val="0.26772178477690289"/>
          <c:h val="0.152199620880723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ivil_Data!A1"/><Relationship Id="rId13" Type="http://schemas.openxmlformats.org/officeDocument/2006/relationships/chart" Target="../charts/chart7.xml"/><Relationship Id="rId18" Type="http://schemas.openxmlformats.org/officeDocument/2006/relationships/image" Target="../media/image6.png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12" Type="http://schemas.openxmlformats.org/officeDocument/2006/relationships/chart" Target="../charts/chart6.xml"/><Relationship Id="rId17" Type="http://schemas.openxmlformats.org/officeDocument/2006/relationships/image" Target="../media/image5.png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hyperlink" Target="#Civil_Summary!A1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5" Type="http://schemas.openxmlformats.org/officeDocument/2006/relationships/hyperlink" Target="#Upcoming_Deadline!A1"/><Relationship Id="rId10" Type="http://schemas.openxmlformats.org/officeDocument/2006/relationships/hyperlink" Target="#Civil_Dashboard!A1"/><Relationship Id="rId4" Type="http://schemas.openxmlformats.org/officeDocument/2006/relationships/chart" Target="../charts/chart4.xml"/><Relationship Id="rId9" Type="http://schemas.openxmlformats.org/officeDocument/2006/relationships/image" Target="../media/image2.png"/><Relationship Id="rId1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ivil_Data!A1"/><Relationship Id="rId2" Type="http://schemas.openxmlformats.org/officeDocument/2006/relationships/image" Target="../media/image7.png"/><Relationship Id="rId1" Type="http://schemas.openxmlformats.org/officeDocument/2006/relationships/hyperlink" Target="#Civil_Summary!A1"/><Relationship Id="rId6" Type="http://schemas.openxmlformats.org/officeDocument/2006/relationships/image" Target="../media/image8.png"/><Relationship Id="rId5" Type="http://schemas.openxmlformats.org/officeDocument/2006/relationships/hyperlink" Target="#Civil_Dashboard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image" Target="../media/image1.png"/><Relationship Id="rId7" Type="http://schemas.openxmlformats.org/officeDocument/2006/relationships/image" Target="../media/image9.png"/><Relationship Id="rId12" Type="http://schemas.openxmlformats.org/officeDocument/2006/relationships/chart" Target="../charts/chart14.xml"/><Relationship Id="rId2" Type="http://schemas.openxmlformats.org/officeDocument/2006/relationships/hyperlink" Target="#Civil_Summary!A1"/><Relationship Id="rId16" Type="http://schemas.openxmlformats.org/officeDocument/2006/relationships/chart" Target="../charts/chart18.xml"/><Relationship Id="rId1" Type="http://schemas.openxmlformats.org/officeDocument/2006/relationships/chart" Target="../charts/chart9.xml"/><Relationship Id="rId6" Type="http://schemas.openxmlformats.org/officeDocument/2006/relationships/hyperlink" Target="#Civil_Dashboard!A1"/><Relationship Id="rId11" Type="http://schemas.openxmlformats.org/officeDocument/2006/relationships/chart" Target="../charts/chart13.xml"/><Relationship Id="rId5" Type="http://schemas.openxmlformats.org/officeDocument/2006/relationships/image" Target="../media/image2.png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hyperlink" Target="#Civil_Data!A1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374431</xdr:colOff>
      <xdr:row>7</xdr:row>
      <xdr:rowOff>115706</xdr:rowOff>
    </xdr:from>
    <xdr:to>
      <xdr:col>8</xdr:col>
      <xdr:colOff>558776</xdr:colOff>
      <xdr:row>17</xdr:row>
      <xdr:rowOff>10706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702AC16F-D08D-C850-F2CA-99073422230F}"/>
            </a:ext>
          </a:extLst>
        </xdr:cNvPr>
        <xdr:cNvSpPr/>
      </xdr:nvSpPr>
      <xdr:spPr>
        <a:xfrm>
          <a:off x="2818086" y="1449206"/>
          <a:ext cx="2628000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4</xdr:col>
      <xdr:colOff>390526</xdr:colOff>
      <xdr:row>7</xdr:row>
      <xdr:rowOff>133350</xdr:rowOff>
    </xdr:from>
    <xdr:to>
      <xdr:col>8</xdr:col>
      <xdr:colOff>533400</xdr:colOff>
      <xdr:row>16</xdr:row>
      <xdr:rowOff>171449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303B015F-DD6B-45E7-9C49-2864436BF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271904</xdr:colOff>
      <xdr:row>8</xdr:row>
      <xdr:rowOff>121326</xdr:rowOff>
    </xdr:from>
    <xdr:to>
      <xdr:col>8</xdr:col>
      <xdr:colOff>527719</xdr:colOff>
      <xdr:row>9</xdr:row>
      <xdr:rowOff>67442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4019F692-88A0-AF5F-C5EF-3D0A6119FAE7}"/>
            </a:ext>
          </a:extLst>
        </xdr:cNvPr>
        <xdr:cNvSpPr/>
      </xdr:nvSpPr>
      <xdr:spPr>
        <a:xfrm>
          <a:off x="5175208" y="1645326"/>
          <a:ext cx="255815" cy="13661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188974</xdr:colOff>
      <xdr:row>8</xdr:row>
      <xdr:rowOff>54791</xdr:rowOff>
    </xdr:from>
    <xdr:to>
      <xdr:col>9</xdr:col>
      <xdr:colOff>35108</xdr:colOff>
      <xdr:row>9</xdr:row>
      <xdr:rowOff>128061</xdr:rowOff>
    </xdr:to>
    <xdr:sp macro="" textlink="Piping_Summary!G12">
      <xdr:nvSpPr>
        <xdr:cNvPr id="47" name="Rectangle 46">
          <a:extLst>
            <a:ext uri="{FF2B5EF4-FFF2-40B4-BE49-F238E27FC236}">
              <a16:creationId xmlns:a16="http://schemas.microsoft.com/office/drawing/2014/main" id="{0CE3313D-AE9F-FE2D-0239-F361BFA1ECE1}"/>
            </a:ext>
          </a:extLst>
        </xdr:cNvPr>
        <xdr:cNvSpPr/>
      </xdr:nvSpPr>
      <xdr:spPr>
        <a:xfrm>
          <a:off x="5092278" y="157879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FC738B5-8A58-4998-BAFE-DBD7E745FEDB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274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271905</xdr:colOff>
      <xdr:row>7</xdr:row>
      <xdr:rowOff>170856</xdr:rowOff>
    </xdr:from>
    <xdr:to>
      <xdr:col>8</xdr:col>
      <xdr:colOff>473291</xdr:colOff>
      <xdr:row>8</xdr:row>
      <xdr:rowOff>105542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72D09A2-8A4A-D322-A549-4C77AB69B23B}"/>
            </a:ext>
          </a:extLst>
        </xdr:cNvPr>
        <xdr:cNvSpPr/>
      </xdr:nvSpPr>
      <xdr:spPr>
        <a:xfrm>
          <a:off x="5175209" y="1504356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190500</xdr:colOff>
      <xdr:row>7</xdr:row>
      <xdr:rowOff>105124</xdr:rowOff>
    </xdr:from>
    <xdr:to>
      <xdr:col>9</xdr:col>
      <xdr:colOff>36634</xdr:colOff>
      <xdr:row>8</xdr:row>
      <xdr:rowOff>178394</xdr:rowOff>
    </xdr:to>
    <xdr:sp macro="" textlink="Piping_Summary!I12">
      <xdr:nvSpPr>
        <xdr:cNvPr id="46" name="Rectangle 45">
          <a:extLst>
            <a:ext uri="{FF2B5EF4-FFF2-40B4-BE49-F238E27FC236}">
              <a16:creationId xmlns:a16="http://schemas.microsoft.com/office/drawing/2014/main" id="{3D20C446-2146-EF78-F9CD-B341BAB9364B}"/>
            </a:ext>
          </a:extLst>
        </xdr:cNvPr>
        <xdr:cNvSpPr/>
      </xdr:nvSpPr>
      <xdr:spPr>
        <a:xfrm>
          <a:off x="5093804" y="1438624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DE6C12F-56DF-4A87-8B68-A8D66CF9C04C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l"/>
            <a:t>0</a:t>
          </a:fld>
          <a:endParaRPr lang="en-US" sz="11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374431</xdr:colOff>
      <xdr:row>17</xdr:row>
      <xdr:rowOff>50015</xdr:rowOff>
    </xdr:from>
    <xdr:to>
      <xdr:col>8</xdr:col>
      <xdr:colOff>558776</xdr:colOff>
      <xdr:row>27</xdr:row>
      <xdr:rowOff>7326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617AE96-50BE-DBAF-8DCA-55D66A76FAD4}"/>
            </a:ext>
          </a:extLst>
        </xdr:cNvPr>
        <xdr:cNvSpPr/>
      </xdr:nvSpPr>
      <xdr:spPr>
        <a:xfrm>
          <a:off x="2806969" y="3288515"/>
          <a:ext cx="2616884" cy="1862311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4</xdr:col>
      <xdr:colOff>400050</xdr:colOff>
      <xdr:row>17</xdr:row>
      <xdr:rowOff>66675</xdr:rowOff>
    </xdr:from>
    <xdr:to>
      <xdr:col>8</xdr:col>
      <xdr:colOff>514350</xdr:colOff>
      <xdr:row>26</xdr:row>
      <xdr:rowOff>171450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BBDE0DA8-691F-4FC5-884E-854C2CA99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58616</xdr:colOff>
      <xdr:row>7</xdr:row>
      <xdr:rowOff>109958</xdr:rowOff>
    </xdr:from>
    <xdr:to>
      <xdr:col>4</xdr:col>
      <xdr:colOff>342903</xdr:colOff>
      <xdr:row>27</xdr:row>
      <xdr:rowOff>7327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AC6B851-EAB6-1A59-4099-EF2A8731E68B}"/>
            </a:ext>
          </a:extLst>
        </xdr:cNvPr>
        <xdr:cNvSpPr/>
      </xdr:nvSpPr>
      <xdr:spPr>
        <a:xfrm>
          <a:off x="671529" y="1443458"/>
          <a:ext cx="2123026" cy="3707369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n>
                <a:noFill/>
              </a:ln>
            </a:rPr>
            <a:t>   </a:t>
          </a:r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0</xdr:col>
      <xdr:colOff>563216</xdr:colOff>
      <xdr:row>7</xdr:row>
      <xdr:rowOff>108428</xdr:rowOff>
    </xdr:from>
    <xdr:to>
      <xdr:col>5</xdr:col>
      <xdr:colOff>281608</xdr:colOff>
      <xdr:row>11</xdr:row>
      <xdr:rowOff>157370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34097F20-AF4D-4758-AB30-E2C6222EE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601718</xdr:colOff>
      <xdr:row>7</xdr:row>
      <xdr:rowOff>115706</xdr:rowOff>
    </xdr:from>
    <xdr:to>
      <xdr:col>13</xdr:col>
      <xdr:colOff>7327</xdr:colOff>
      <xdr:row>17</xdr:row>
      <xdr:rowOff>10706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8A1C47C-0CA4-08D1-CB71-DC5865FFA316}"/>
            </a:ext>
          </a:extLst>
        </xdr:cNvPr>
        <xdr:cNvSpPr/>
      </xdr:nvSpPr>
      <xdr:spPr>
        <a:xfrm>
          <a:off x="5466795" y="1449206"/>
          <a:ext cx="3516013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33508</xdr:colOff>
      <xdr:row>7</xdr:row>
      <xdr:rowOff>152046</xdr:rowOff>
    </xdr:from>
    <xdr:to>
      <xdr:col>12</xdr:col>
      <xdr:colOff>1316181</xdr:colOff>
      <xdr:row>16</xdr:row>
      <xdr:rowOff>143763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100C95E-80BB-48DB-AF54-3267591BF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36634</xdr:colOff>
      <xdr:row>7</xdr:row>
      <xdr:rowOff>117231</xdr:rowOff>
    </xdr:from>
    <xdr:to>
      <xdr:col>17</xdr:col>
      <xdr:colOff>280147</xdr:colOff>
      <xdr:row>26</xdr:row>
      <xdr:rowOff>167712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F2272F1-78F4-EB74-07D8-BF5C6B040422}"/>
            </a:ext>
          </a:extLst>
        </xdr:cNvPr>
        <xdr:cNvSpPr/>
      </xdr:nvSpPr>
      <xdr:spPr>
        <a:xfrm>
          <a:off x="9874598" y="1450731"/>
          <a:ext cx="2243763" cy="3669981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65556</xdr:colOff>
      <xdr:row>7</xdr:row>
      <xdr:rowOff>142875</xdr:rowOff>
    </xdr:from>
    <xdr:to>
      <xdr:col>17</xdr:col>
      <xdr:colOff>256054</xdr:colOff>
      <xdr:row>26</xdr:row>
      <xdr:rowOff>145596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84585E2-7237-4698-86A7-7FB5A636058F}"/>
            </a:ext>
          </a:extLst>
        </xdr:cNvPr>
        <xdr:cNvSpPr/>
      </xdr:nvSpPr>
      <xdr:spPr>
        <a:xfrm>
          <a:off x="9837085" y="1476375"/>
          <a:ext cx="2162734" cy="3622221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z</a:t>
          </a:r>
          <a:endParaRPr lang="en-NG" sz="1100"/>
        </a:p>
      </xdr:txBody>
    </xdr:sp>
    <xdr:clientData/>
  </xdr:twoCellAnchor>
  <xdr:twoCellAnchor>
    <xdr:from>
      <xdr:col>1</xdr:col>
      <xdr:colOff>76200</xdr:colOff>
      <xdr:row>10</xdr:row>
      <xdr:rowOff>133764</xdr:rowOff>
    </xdr:from>
    <xdr:to>
      <xdr:col>4</xdr:col>
      <xdr:colOff>314325</xdr:colOff>
      <xdr:row>16</xdr:row>
      <xdr:rowOff>31506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36F88167-3396-7700-8338-AE14EFA439FD}"/>
            </a:ext>
          </a:extLst>
        </xdr:cNvPr>
        <xdr:cNvSpPr/>
      </xdr:nvSpPr>
      <xdr:spPr>
        <a:xfrm>
          <a:off x="689113" y="2038764"/>
          <a:ext cx="2076864" cy="104074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552847</xdr:colOff>
      <xdr:row>10</xdr:row>
      <xdr:rowOff>73816</xdr:rowOff>
    </xdr:from>
    <xdr:to>
      <xdr:col>3</xdr:col>
      <xdr:colOff>349890</xdr:colOff>
      <xdr:row>17</xdr:row>
      <xdr:rowOff>12460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ECB2A5E9-2F64-CE39-5167-D3EDD6B56125}"/>
            </a:ext>
          </a:extLst>
        </xdr:cNvPr>
        <xdr:cNvGrpSpPr/>
      </xdr:nvGrpSpPr>
      <xdr:grpSpPr>
        <a:xfrm>
          <a:off x="552847" y="1978816"/>
          <a:ext cx="1612396" cy="1272144"/>
          <a:chOff x="666782" y="2081102"/>
          <a:chExt cx="1247856" cy="977348"/>
        </a:xfrm>
      </xdr:grpSpPr>
      <xdr:graphicFrame macro="">
        <xdr:nvGraphicFramePr>
          <xdr:cNvPr id="44" name="Chart 43">
            <a:extLst>
              <a:ext uri="{FF2B5EF4-FFF2-40B4-BE49-F238E27FC236}">
                <a16:creationId xmlns:a16="http://schemas.microsoft.com/office/drawing/2014/main" id="{E0078CF0-1CAC-4080-955E-1159B36A99CB}"/>
              </a:ext>
            </a:extLst>
          </xdr:cNvPr>
          <xdr:cNvGraphicFramePr>
            <a:graphicFrameLocks/>
          </xdr:cNvGraphicFramePr>
        </xdr:nvGraphicFramePr>
        <xdr:xfrm>
          <a:off x="1049438" y="2081102"/>
          <a:ext cx="865200" cy="9773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41440DD-BCE2-4F21-5617-170F12FDDCC8}"/>
              </a:ext>
            </a:extLst>
          </xdr:cNvPr>
          <xdr:cNvSpPr/>
        </xdr:nvSpPr>
        <xdr:spPr>
          <a:xfrm>
            <a:off x="666782" y="2099207"/>
            <a:ext cx="924201" cy="1970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chemeClr val="accent1">
                    <a:lumMod val="50000"/>
                  </a:schemeClr>
                </a:solidFill>
              </a:rPr>
              <a:t>Quality Checked</a:t>
            </a:r>
            <a:endParaRPr lang="en-NG" sz="8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7328</xdr:colOff>
      <xdr:row>0</xdr:row>
      <xdr:rowOff>0</xdr:rowOff>
    </xdr:from>
    <xdr:to>
      <xdr:col>1</xdr:col>
      <xdr:colOff>51289</xdr:colOff>
      <xdr:row>30</xdr:row>
      <xdr:rowOff>65942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F20933-EED7-5A6E-5870-11702F47BE5A}"/>
            </a:ext>
          </a:extLst>
        </xdr:cNvPr>
        <xdr:cNvSpPr/>
      </xdr:nvSpPr>
      <xdr:spPr>
        <a:xfrm>
          <a:off x="7328" y="0"/>
          <a:ext cx="652096" cy="5780942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11</xdr:row>
      <xdr:rowOff>131013</xdr:rowOff>
    </xdr:to>
    <xdr:pic>
      <xdr:nvPicPr>
        <xdr:cNvPr id="11" name="Pictur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07F78C-55E2-6A74-6051-AC72377C1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4434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15" name="Pictur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804784D-3A77-7675-FA55-AE4D222189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17" name="Pictur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EF94D75-ADA0-08C4-4FBB-A20E3616F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0</xdr:col>
      <xdr:colOff>514351</xdr:colOff>
      <xdr:row>0</xdr:row>
      <xdr:rowOff>9525</xdr:rowOff>
    </xdr:from>
    <xdr:to>
      <xdr:col>21</xdr:col>
      <xdr:colOff>85725</xdr:colOff>
      <xdr:row>3</xdr:row>
      <xdr:rowOff>104775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A160478-78BA-5931-916E-D1D6E92F3FEE}"/>
            </a:ext>
          </a:extLst>
        </xdr:cNvPr>
        <xdr:cNvSpPr/>
      </xdr:nvSpPr>
      <xdr:spPr>
        <a:xfrm>
          <a:off x="514351" y="9525"/>
          <a:ext cx="12372974" cy="66675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3200">
              <a:solidFill>
                <a:schemeClr val="lt1"/>
              </a:solidFill>
              <a:latin typeface="+mn-lt"/>
              <a:ea typeface="+mn-ea"/>
              <a:cs typeface="+mn-cs"/>
            </a:rPr>
            <a:t>Afiesere Piping Dashboard</a:t>
          </a:r>
          <a:endParaRPr lang="en-NG" sz="3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71435</xdr:colOff>
      <xdr:row>3</xdr:row>
      <xdr:rowOff>160342</xdr:rowOff>
    </xdr:from>
    <xdr:to>
      <xdr:col>18</xdr:col>
      <xdr:colOff>505561</xdr:colOff>
      <xdr:row>7</xdr:row>
      <xdr:rowOff>53583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D321786-588E-9ADC-6D69-E2B904E4515D}"/>
            </a:ext>
          </a:extLst>
        </xdr:cNvPr>
        <xdr:cNvSpPr/>
      </xdr:nvSpPr>
      <xdr:spPr>
        <a:xfrm rot="5400000">
          <a:off x="5764558" y="-4350367"/>
          <a:ext cx="655241" cy="10819660"/>
        </a:xfrm>
        <a:prstGeom prst="rect">
          <a:avLst/>
        </a:prstGeom>
        <a:solidFill>
          <a:srgbClr val="F7F7F7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285749</xdr:colOff>
      <xdr:row>3</xdr:row>
      <xdr:rowOff>51035</xdr:rowOff>
    </xdr:from>
    <xdr:to>
      <xdr:col>4</xdr:col>
      <xdr:colOff>234461</xdr:colOff>
      <xdr:row>7</xdr:row>
      <xdr:rowOff>73269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3E0C87D-A99E-CF05-87F4-36038ED50DC1}"/>
            </a:ext>
          </a:extLst>
        </xdr:cNvPr>
        <xdr:cNvGrpSpPr/>
      </xdr:nvGrpSpPr>
      <xdr:grpSpPr>
        <a:xfrm>
          <a:off x="890867" y="622535"/>
          <a:ext cx="1764065" cy="784234"/>
          <a:chOff x="322385" y="607881"/>
          <a:chExt cx="1773115" cy="78423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A0AB2664-909A-ECB2-EAD7-29D80BA7F5B6}"/>
              </a:ext>
            </a:extLst>
          </xdr:cNvPr>
          <xdr:cNvGrpSpPr/>
        </xdr:nvGrpSpPr>
        <xdr:grpSpPr>
          <a:xfrm>
            <a:off x="322385" y="607881"/>
            <a:ext cx="1773115" cy="732946"/>
            <a:chOff x="322385" y="607881"/>
            <a:chExt cx="1773115" cy="732946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831D120-FFAC-4B46-A967-4B40E3B31A30}"/>
                </a:ext>
              </a:extLst>
            </xdr:cNvPr>
            <xdr:cNvGraphicFramePr>
              <a:graphicFrameLocks/>
            </xdr:cNvGraphicFramePr>
          </xdr:nvGraphicFramePr>
          <xdr:xfrm>
            <a:off x="634011" y="607881"/>
            <a:ext cx="772758" cy="73294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5D6849C8-CDF7-5E35-7BE8-3B69E679CA55}"/>
                </a:ext>
              </a:extLst>
            </xdr:cNvPr>
            <xdr:cNvSpPr/>
          </xdr:nvSpPr>
          <xdr:spPr>
            <a:xfrm>
              <a:off x="322385" y="1040422"/>
              <a:ext cx="1773115" cy="2637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400" b="1">
                  <a:solidFill>
                    <a:srgbClr val="1A2E52"/>
                  </a:solidFill>
                </a:rPr>
                <a:t>Overall Progress</a:t>
              </a:r>
              <a:endParaRPr lang="en-NG" sz="1400" b="1">
                <a:solidFill>
                  <a:srgbClr val="1A2E52"/>
                </a:solidFill>
              </a:endParaRPr>
            </a:p>
          </xdr:txBody>
        </xdr:sp>
      </xdr:grpSp>
      <xdr:sp macro="" textlink="Piping_Summary!F16">
        <xdr:nvSpPr>
          <xdr:cNvPr id="6" name="Rectangle 5">
            <a:extLst>
              <a:ext uri="{FF2B5EF4-FFF2-40B4-BE49-F238E27FC236}">
                <a16:creationId xmlns:a16="http://schemas.microsoft.com/office/drawing/2014/main" id="{73B50FB8-1C52-42E4-A2E5-6C2F78915652}"/>
              </a:ext>
            </a:extLst>
          </xdr:cNvPr>
          <xdr:cNvSpPr/>
        </xdr:nvSpPr>
        <xdr:spPr>
          <a:xfrm>
            <a:off x="681404" y="813037"/>
            <a:ext cx="864577" cy="5790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06A49D1-35ED-43B0-AEBA-A9CF7DFE8E31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#DIV/0!</a:t>
            </a:fld>
            <a:endParaRPr lang="en-NG" sz="2800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133797</xdr:colOff>
      <xdr:row>3</xdr:row>
      <xdr:rowOff>164682</xdr:rowOff>
    </xdr:from>
    <xdr:to>
      <xdr:col>5</xdr:col>
      <xdr:colOff>137397</xdr:colOff>
      <xdr:row>7</xdr:row>
      <xdr:rowOff>58353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70C1C2B-04A3-765F-0108-B407341D0691}"/>
            </a:ext>
          </a:extLst>
        </xdr:cNvPr>
        <xdr:cNvSpPr/>
      </xdr:nvSpPr>
      <xdr:spPr>
        <a:xfrm>
          <a:off x="3174470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186349</xdr:colOff>
      <xdr:row>3</xdr:row>
      <xdr:rowOff>164682</xdr:rowOff>
    </xdr:from>
    <xdr:to>
      <xdr:col>13</xdr:col>
      <xdr:colOff>189949</xdr:colOff>
      <xdr:row>7</xdr:row>
      <xdr:rowOff>58353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925AF96-3377-4BFB-2DE7-5F724C9FD2D8}"/>
            </a:ext>
          </a:extLst>
        </xdr:cNvPr>
        <xdr:cNvSpPr/>
      </xdr:nvSpPr>
      <xdr:spPr>
        <a:xfrm>
          <a:off x="8128228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137948</xdr:colOff>
      <xdr:row>3</xdr:row>
      <xdr:rowOff>42101</xdr:rowOff>
    </xdr:from>
    <xdr:to>
      <xdr:col>12</xdr:col>
      <xdr:colOff>374431</xdr:colOff>
      <xdr:row>7</xdr:row>
      <xdr:rowOff>157655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8055787-F731-4C5E-B361-035EB36D1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348154</xdr:colOff>
      <xdr:row>3</xdr:row>
      <xdr:rowOff>157655</xdr:rowOff>
    </xdr:from>
    <xdr:to>
      <xdr:col>13</xdr:col>
      <xdr:colOff>177362</xdr:colOff>
      <xdr:row>4</xdr:row>
      <xdr:rowOff>164224</xdr:rowOff>
    </xdr:to>
    <xdr:sp macro="" textlink="Piping_Summary!M16">
      <xdr:nvSpPr>
        <xdr:cNvPr id="25" name="Rectangle 24">
          <a:extLst>
            <a:ext uri="{FF2B5EF4-FFF2-40B4-BE49-F238E27FC236}">
              <a16:creationId xmlns:a16="http://schemas.microsoft.com/office/drawing/2014/main" id="{78460253-7210-9BEE-C703-6F5BE4D2E086}"/>
            </a:ext>
          </a:extLst>
        </xdr:cNvPr>
        <xdr:cNvSpPr/>
      </xdr:nvSpPr>
      <xdr:spPr>
        <a:xfrm>
          <a:off x="7679120" y="729155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4E55369-1CB0-4AB5-B077-9396B4D2B73E}" type="TxLink">
            <a:rPr lang="en-US" sz="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100%</a:t>
          </a:fld>
          <a:endParaRPr lang="en-NG" sz="800" b="1"/>
        </a:p>
      </xdr:txBody>
    </xdr:sp>
    <xdr:clientData/>
  </xdr:twoCellAnchor>
  <xdr:twoCellAnchor>
    <xdr:from>
      <xdr:col>5</xdr:col>
      <xdr:colOff>189677</xdr:colOff>
      <xdr:row>3</xdr:row>
      <xdr:rowOff>147203</xdr:rowOff>
    </xdr:from>
    <xdr:to>
      <xdr:col>9</xdr:col>
      <xdr:colOff>354724</xdr:colOff>
      <xdr:row>7</xdr:row>
      <xdr:rowOff>190498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5346AF6-E6EC-4EDE-A425-28DCE860E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361292</xdr:colOff>
      <xdr:row>5</xdr:row>
      <xdr:rowOff>0</xdr:rowOff>
    </xdr:from>
    <xdr:to>
      <xdr:col>13</xdr:col>
      <xdr:colOff>190500</xdr:colOff>
      <xdr:row>6</xdr:row>
      <xdr:rowOff>6569</xdr:rowOff>
    </xdr:to>
    <xdr:sp macro="" textlink="Piping_Summary!N16">
      <xdr:nvSpPr>
        <xdr:cNvPr id="28" name="Rectangle 27">
          <a:extLst>
            <a:ext uri="{FF2B5EF4-FFF2-40B4-BE49-F238E27FC236}">
              <a16:creationId xmlns:a16="http://schemas.microsoft.com/office/drawing/2014/main" id="{5089EB25-C0B1-AA0E-0196-E514E6432AD5}"/>
            </a:ext>
          </a:extLst>
        </xdr:cNvPr>
        <xdr:cNvSpPr/>
      </xdr:nvSpPr>
      <xdr:spPr>
        <a:xfrm>
          <a:off x="7692258" y="952500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0E826044-8B2D-4473-A289-842EE6DBF3E8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361292</xdr:colOff>
      <xdr:row>6</xdr:row>
      <xdr:rowOff>6569</xdr:rowOff>
    </xdr:from>
    <xdr:to>
      <xdr:col>13</xdr:col>
      <xdr:colOff>190500</xdr:colOff>
      <xdr:row>7</xdr:row>
      <xdr:rowOff>13138</xdr:rowOff>
    </xdr:to>
    <xdr:sp macro="" textlink="Piping_Summary!O16">
      <xdr:nvSpPr>
        <xdr:cNvPr id="29" name="Rectangle 28">
          <a:extLst>
            <a:ext uri="{FF2B5EF4-FFF2-40B4-BE49-F238E27FC236}">
              <a16:creationId xmlns:a16="http://schemas.microsoft.com/office/drawing/2014/main" id="{1E0A4E3A-DB04-353E-6650-6B029B989222}"/>
            </a:ext>
          </a:extLst>
        </xdr:cNvPr>
        <xdr:cNvSpPr/>
      </xdr:nvSpPr>
      <xdr:spPr>
        <a:xfrm>
          <a:off x="7692258" y="1149569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4A623A3B-3FEC-4AA7-A849-DE921C4F144B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170793</xdr:colOff>
      <xdr:row>3</xdr:row>
      <xdr:rowOff>98533</xdr:rowOff>
    </xdr:from>
    <xdr:to>
      <xdr:col>8</xdr:col>
      <xdr:colOff>394138</xdr:colOff>
      <xdr:row>4</xdr:row>
      <xdr:rowOff>105102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5E907B9-6F45-C15F-9FB0-019548008DDE}"/>
            </a:ext>
          </a:extLst>
        </xdr:cNvPr>
        <xdr:cNvSpPr/>
      </xdr:nvSpPr>
      <xdr:spPr>
        <a:xfrm>
          <a:off x="3225362" y="670033"/>
          <a:ext cx="205608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529334</xdr:colOff>
      <xdr:row>7</xdr:row>
      <xdr:rowOff>125567</xdr:rowOff>
    </xdr:from>
    <xdr:to>
      <xdr:col>12</xdr:col>
      <xdr:colOff>222000</xdr:colOff>
      <xdr:row>8</xdr:row>
      <xdr:rowOff>124558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9116BD7-6C87-C6D7-C619-0AB02BEDAD3D}"/>
            </a:ext>
          </a:extLst>
        </xdr:cNvPr>
        <xdr:cNvSpPr/>
      </xdr:nvSpPr>
      <xdr:spPr>
        <a:xfrm>
          <a:off x="6652548" y="1459067"/>
          <a:ext cx="2060309" cy="1894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Team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Resource (Hours)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159626</xdr:colOff>
      <xdr:row>3</xdr:row>
      <xdr:rowOff>177362</xdr:rowOff>
    </xdr:from>
    <xdr:to>
      <xdr:col>17</xdr:col>
      <xdr:colOff>275896</xdr:colOff>
      <xdr:row>7</xdr:row>
      <xdr:rowOff>52552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1E95CCB8-9F51-18E2-023C-256A48279198}"/>
            </a:ext>
          </a:extLst>
        </xdr:cNvPr>
        <xdr:cNvSpPr/>
      </xdr:nvSpPr>
      <xdr:spPr>
        <a:xfrm>
          <a:off x="8515350" y="748862"/>
          <a:ext cx="2113236" cy="63719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tx2"/>
            </a:solidFill>
          </a:endParaRPr>
        </a:p>
      </xdr:txBody>
    </xdr:sp>
    <xdr:clientData/>
  </xdr:twoCellAnchor>
  <xdr:twoCellAnchor>
    <xdr:from>
      <xdr:col>14</xdr:col>
      <xdr:colOff>29307</xdr:colOff>
      <xdr:row>3</xdr:row>
      <xdr:rowOff>190499</xdr:rowOff>
    </xdr:from>
    <xdr:to>
      <xdr:col>17</xdr:col>
      <xdr:colOff>243050</xdr:colOff>
      <xdr:row>4</xdr:row>
      <xdr:rowOff>177362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3F7C753C-03A6-A5FB-8B6C-389FE0DA4E6B}"/>
            </a:ext>
          </a:extLst>
        </xdr:cNvPr>
        <xdr:cNvSpPr/>
      </xdr:nvSpPr>
      <xdr:spPr>
        <a:xfrm>
          <a:off x="9986595" y="761999"/>
          <a:ext cx="2038147" cy="17736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chemeClr val="accent5">
                  <a:lumMod val="50000"/>
                </a:schemeClr>
              </a:solidFill>
            </a:rPr>
            <a:t>Project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ed End Date</a:t>
          </a:r>
          <a:endParaRPr lang="en-NG" sz="1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595504</xdr:colOff>
      <xdr:row>4</xdr:row>
      <xdr:rowOff>18190</xdr:rowOff>
    </xdr:from>
    <xdr:to>
      <xdr:col>18</xdr:col>
      <xdr:colOff>118749</xdr:colOff>
      <xdr:row>5</xdr:row>
      <xdr:rowOff>5053</xdr:rowOff>
    </xdr:to>
    <xdr:sp macro="" textlink="Piping_Data!V17">
      <xdr:nvSpPr>
        <xdr:cNvPr id="41" name="Rectangle 40">
          <a:extLst>
            <a:ext uri="{FF2B5EF4-FFF2-40B4-BE49-F238E27FC236}">
              <a16:creationId xmlns:a16="http://schemas.microsoft.com/office/drawing/2014/main" id="{FDA1BBB0-B042-A738-F32E-90D7620D671E}"/>
            </a:ext>
          </a:extLst>
        </xdr:cNvPr>
        <xdr:cNvSpPr/>
      </xdr:nvSpPr>
      <xdr:spPr>
        <a:xfrm>
          <a:off x="9080081" y="780190"/>
          <a:ext cx="1955783" cy="1773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7531ED-617D-4B09-84FA-9A8C2704DB01}" type="TxLink">
            <a:rPr lang="en-US" sz="600" b="0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ctr"/>
            <a:t>Friday, 25 August 2023</a:t>
          </a:fld>
          <a:endParaRPr lang="en-NG" sz="6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66039</xdr:colOff>
      <xdr:row>17</xdr:row>
      <xdr:rowOff>25103</xdr:rowOff>
    </xdr:from>
    <xdr:to>
      <xdr:col>7</xdr:col>
      <xdr:colOff>289384</xdr:colOff>
      <xdr:row>18</xdr:row>
      <xdr:rowOff>31672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34500DC-0C10-4A16-BDA5-C04A14A72AFA}"/>
            </a:ext>
          </a:extLst>
        </xdr:cNvPr>
        <xdr:cNvSpPr/>
      </xdr:nvSpPr>
      <xdr:spPr>
        <a:xfrm>
          <a:off x="2504439" y="3263603"/>
          <a:ext cx="2052145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5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5">
                  <a:lumMod val="50000"/>
                </a:schemeClr>
              </a:solidFill>
            </a:rPr>
            <a:t> Completion By Hours</a:t>
          </a:r>
          <a:endParaRPr lang="en-NG" sz="8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463689</xdr:colOff>
      <xdr:row>7</xdr:row>
      <xdr:rowOff>144516</xdr:rowOff>
    </xdr:from>
    <xdr:to>
      <xdr:col>10</xdr:col>
      <xdr:colOff>293727</xdr:colOff>
      <xdr:row>8</xdr:row>
      <xdr:rowOff>151085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E824E4B4-8304-0FAC-8ED2-8C6E4260E68F}"/>
            </a:ext>
          </a:extLst>
        </xdr:cNvPr>
        <xdr:cNvSpPr/>
      </xdr:nvSpPr>
      <xdr:spPr>
        <a:xfrm>
          <a:off x="2912975" y="1478016"/>
          <a:ext cx="350396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By Category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444</xdr:colOff>
      <xdr:row>5</xdr:row>
      <xdr:rowOff>1</xdr:rowOff>
    </xdr:from>
    <xdr:to>
      <xdr:col>17</xdr:col>
      <xdr:colOff>249115</xdr:colOff>
      <xdr:row>7</xdr:row>
      <xdr:rowOff>39414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1925B818-F921-113D-2D02-0327A4F47D4F}"/>
            </a:ext>
          </a:extLst>
        </xdr:cNvPr>
        <xdr:cNvGrpSpPr/>
      </xdr:nvGrpSpPr>
      <xdr:grpSpPr>
        <a:xfrm>
          <a:off x="11766620" y="952501"/>
          <a:ext cx="2064024" cy="420413"/>
          <a:chOff x="8210923" y="952501"/>
          <a:chExt cx="2068653" cy="420413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1F563395-C80A-9DE5-1C3F-58530EC4B23E}"/>
              </a:ext>
            </a:extLst>
          </xdr:cNvPr>
          <xdr:cNvSpPr/>
        </xdr:nvSpPr>
        <xdr:spPr>
          <a:xfrm>
            <a:off x="8854110" y="959069"/>
            <a:ext cx="1425466" cy="40070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of            Days</a:t>
            </a:r>
            <a:r>
              <a:rPr lang="en-US" sz="1200" b="1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Left</a:t>
            </a:r>
            <a:endParaRPr lang="en-NG" sz="12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Piping_Data!V19">
        <xdr:nvSpPr>
          <xdr:cNvPr id="42" name="Rectangle 41">
            <a:extLst>
              <a:ext uri="{FF2B5EF4-FFF2-40B4-BE49-F238E27FC236}">
                <a16:creationId xmlns:a16="http://schemas.microsoft.com/office/drawing/2014/main" id="{35E48684-6779-4257-7189-C88099BB4328}"/>
              </a:ext>
            </a:extLst>
          </xdr:cNvPr>
          <xdr:cNvSpPr/>
        </xdr:nvSpPr>
        <xdr:spPr>
          <a:xfrm>
            <a:off x="8210923" y="952501"/>
            <a:ext cx="750859" cy="420413"/>
          </a:xfrm>
          <a:prstGeom prst="rect">
            <a:avLst/>
          </a:prstGeom>
          <a:solidFill>
            <a:srgbClr val="13223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7DBD060-DA01-4EDE-A16F-D021CE28323E}" type="TxLink">
              <a:rPr lang="en-US" sz="2800" b="1">
                <a:solidFill>
                  <a:schemeClr val="bg2"/>
                </a:solidFill>
                <a:latin typeface="+mn-lt"/>
                <a:ea typeface="+mn-ea"/>
                <a:cs typeface="+mn-cs"/>
              </a:rPr>
              <a:pPr marL="0" indent="0" algn="ctr"/>
              <a:t>24</a:t>
            </a:fld>
            <a:endParaRPr lang="en-US" sz="2800" b="1">
              <a:solidFill>
                <a:schemeClr val="bg2"/>
              </a:solidFill>
              <a:latin typeface="+mn-lt"/>
              <a:ea typeface="+mn-ea"/>
              <a:cs typeface="+mn-cs"/>
            </a:endParaRPr>
          </a:p>
        </xdr:txBody>
      </xdr:sp>
      <xdr:sp macro="" textlink="Piping_Data!V20">
        <xdr:nvSpPr>
          <xdr:cNvPr id="23" name="Rectangle 22">
            <a:extLst>
              <a:ext uri="{FF2B5EF4-FFF2-40B4-BE49-F238E27FC236}">
                <a16:creationId xmlns:a16="http://schemas.microsoft.com/office/drawing/2014/main" id="{80B043D6-6159-ACA0-3A33-5074C8C830F0}"/>
              </a:ext>
            </a:extLst>
          </xdr:cNvPr>
          <xdr:cNvSpPr/>
        </xdr:nvSpPr>
        <xdr:spPr>
          <a:xfrm>
            <a:off x="9094306" y="959068"/>
            <a:ext cx="505237" cy="4007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8E184A3-6263-46C3-9773-BED3A6267BFE}" type="TxLink">
              <a:rPr lang="en-US" sz="16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l"/>
              <a:t>39</a:t>
            </a:fld>
            <a:endParaRPr lang="en-NG" sz="16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13</xdr:col>
      <xdr:colOff>225584</xdr:colOff>
      <xdr:row>7</xdr:row>
      <xdr:rowOff>131315</xdr:rowOff>
    </xdr:from>
    <xdr:to>
      <xdr:col>16</xdr:col>
      <xdr:colOff>448929</xdr:colOff>
      <xdr:row>8</xdr:row>
      <xdr:rowOff>137884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1C54412-AAF5-4C18-B1F5-57DC117DC0D8}"/>
            </a:ext>
          </a:extLst>
        </xdr:cNvPr>
        <xdr:cNvSpPr/>
      </xdr:nvSpPr>
      <xdr:spPr>
        <a:xfrm>
          <a:off x="8193454" y="1464815"/>
          <a:ext cx="2062084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Project Log 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80211</xdr:colOff>
      <xdr:row>16</xdr:row>
      <xdr:rowOff>49979</xdr:rowOff>
    </xdr:from>
    <xdr:to>
      <xdr:col>4</xdr:col>
      <xdr:colOff>320842</xdr:colOff>
      <xdr:row>17</xdr:row>
      <xdr:rowOff>56548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100E4DD8-572C-41EA-B247-2DCB16C57E94}"/>
            </a:ext>
          </a:extLst>
        </xdr:cNvPr>
        <xdr:cNvSpPr/>
      </xdr:nvSpPr>
      <xdr:spPr>
        <a:xfrm>
          <a:off x="693124" y="3097979"/>
          <a:ext cx="2079370" cy="197069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A42020"/>
              </a:solidFill>
            </a:rPr>
            <a:t>Risk</a:t>
          </a:r>
          <a:endParaRPr lang="en-NG" sz="800" b="1">
            <a:solidFill>
              <a:srgbClr val="A42020"/>
            </a:solidFill>
          </a:endParaRPr>
        </a:p>
      </xdr:txBody>
    </xdr:sp>
    <xdr:clientData/>
  </xdr:twoCellAnchor>
  <xdr:twoCellAnchor>
    <xdr:from>
      <xdr:col>8</xdr:col>
      <xdr:colOff>276564</xdr:colOff>
      <xdr:row>17</xdr:row>
      <xdr:rowOff>125985</xdr:rowOff>
    </xdr:from>
    <xdr:to>
      <xdr:col>8</xdr:col>
      <xdr:colOff>477950</xdr:colOff>
      <xdr:row>18</xdr:row>
      <xdr:rowOff>60671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92C45FB7-7F01-55DB-7FC5-1C14A47D1228}"/>
            </a:ext>
          </a:extLst>
        </xdr:cNvPr>
        <xdr:cNvSpPr/>
      </xdr:nvSpPr>
      <xdr:spPr>
        <a:xfrm>
          <a:off x="5179868" y="3364485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17</xdr:row>
      <xdr:rowOff>53876</xdr:rowOff>
    </xdr:from>
    <xdr:to>
      <xdr:col>9</xdr:col>
      <xdr:colOff>30682</xdr:colOff>
      <xdr:row>18</xdr:row>
      <xdr:rowOff>127146</xdr:rowOff>
    </xdr:to>
    <xdr:sp macro="" textlink="Piping_Summary!K12">
      <xdr:nvSpPr>
        <xdr:cNvPr id="51" name="Rectangle 50">
          <a:extLst>
            <a:ext uri="{FF2B5EF4-FFF2-40B4-BE49-F238E27FC236}">
              <a16:creationId xmlns:a16="http://schemas.microsoft.com/office/drawing/2014/main" id="{1C2419B6-DA57-7F0F-A4A3-D6CAFCE7570C}"/>
            </a:ext>
          </a:extLst>
        </xdr:cNvPr>
        <xdr:cNvSpPr/>
      </xdr:nvSpPr>
      <xdr:spPr>
        <a:xfrm>
          <a:off x="5087852" y="3292376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1730D78C-F69D-406C-9ED5-AFA4D8C1E462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276564</xdr:colOff>
      <xdr:row>18</xdr:row>
      <xdr:rowOff>88193</xdr:rowOff>
    </xdr:from>
    <xdr:to>
      <xdr:col>8</xdr:col>
      <xdr:colOff>477950</xdr:colOff>
      <xdr:row>19</xdr:row>
      <xdr:rowOff>22879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9C9D3F4-646F-C2BE-FBBD-DF7179B78116}"/>
            </a:ext>
          </a:extLst>
        </xdr:cNvPr>
        <xdr:cNvSpPr/>
      </xdr:nvSpPr>
      <xdr:spPr>
        <a:xfrm>
          <a:off x="5179868" y="3517193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18</xdr:row>
      <xdr:rowOff>10131</xdr:rowOff>
    </xdr:from>
    <xdr:to>
      <xdr:col>9</xdr:col>
      <xdr:colOff>30682</xdr:colOff>
      <xdr:row>19</xdr:row>
      <xdr:rowOff>83401</xdr:rowOff>
    </xdr:to>
    <xdr:sp macro="" textlink="Piping_Summary!J12">
      <xdr:nvSpPr>
        <xdr:cNvPr id="54" name="Rectangle 53">
          <a:extLst>
            <a:ext uri="{FF2B5EF4-FFF2-40B4-BE49-F238E27FC236}">
              <a16:creationId xmlns:a16="http://schemas.microsoft.com/office/drawing/2014/main" id="{456D4A73-F252-E8EC-9B9D-9F0294E32D68}"/>
            </a:ext>
          </a:extLst>
        </xdr:cNvPr>
        <xdr:cNvSpPr/>
      </xdr:nvSpPr>
      <xdr:spPr>
        <a:xfrm>
          <a:off x="5087852" y="343913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7A2A5393-1621-4316-9648-7CC6600AE639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US" sz="1100" b="0" i="0" u="none" strike="noStrike">
            <a:ln>
              <a:noFill/>
            </a:ln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7326</xdr:colOff>
      <xdr:row>17</xdr:row>
      <xdr:rowOff>0</xdr:rowOff>
    </xdr:from>
    <xdr:to>
      <xdr:col>10</xdr:col>
      <xdr:colOff>753718</xdr:colOff>
      <xdr:row>18</xdr:row>
      <xdr:rowOff>14654</xdr:rowOff>
    </xdr:to>
    <xdr:sp macro="" textlink="Upcoming_Deadline!J2">
      <xdr:nvSpPr>
        <xdr:cNvPr id="5" name="Rectangle 4">
          <a:extLst>
            <a:ext uri="{FF2B5EF4-FFF2-40B4-BE49-F238E27FC236}">
              <a16:creationId xmlns:a16="http://schemas.microsoft.com/office/drawing/2014/main" id="{D464C962-87DE-A782-391D-6FC7F6E149BA}"/>
            </a:ext>
          </a:extLst>
        </xdr:cNvPr>
        <xdr:cNvSpPr/>
      </xdr:nvSpPr>
      <xdr:spPr>
        <a:xfrm>
          <a:off x="5523543" y="3238500"/>
          <a:ext cx="1359305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0611FA-3FC5-49CA-9525-43D3C1AABA77}" type="TxLink">
            <a:rPr lang="en-US" sz="1100" b="0" i="0" u="none" strike="noStrike">
              <a:solidFill>
                <a:schemeClr val="bg2"/>
              </a:solidFill>
              <a:latin typeface="Calibri"/>
              <a:cs typeface="Calibri"/>
            </a:rPr>
            <a:pPr algn="l"/>
            <a:t>Monday, 31 July 2023</a:t>
          </a:fld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13</xdr:col>
      <xdr:colOff>7326</xdr:colOff>
      <xdr:row>27</xdr:row>
      <xdr:rowOff>14654</xdr:rowOff>
    </xdr:to>
    <xdr:sp macro="" textlink="Upcoming_Deadline!J2">
      <xdr:nvSpPr>
        <xdr:cNvPr id="7" name="Rectangle 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E61F0E2-D3CC-146B-AC4B-C3BC59C7DA9F}"/>
            </a:ext>
          </a:extLst>
        </xdr:cNvPr>
        <xdr:cNvSpPr/>
      </xdr:nvSpPr>
      <xdr:spPr>
        <a:xfrm>
          <a:off x="5473212" y="4953000"/>
          <a:ext cx="2857499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/>
              </a:solidFill>
            </a:rPr>
            <a:t>Click Here For</a:t>
          </a:r>
          <a:r>
            <a:rPr lang="en-US" sz="1100" baseline="0">
              <a:solidFill>
                <a:schemeClr val="bg2"/>
              </a:solidFill>
            </a:rPr>
            <a:t> More Info on Due tasks</a:t>
          </a:r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737152</xdr:colOff>
      <xdr:row>17</xdr:row>
      <xdr:rowOff>8283</xdr:rowOff>
    </xdr:from>
    <xdr:to>
      <xdr:col>13</xdr:col>
      <xdr:colOff>24848</xdr:colOff>
      <xdr:row>18</xdr:row>
      <xdr:rowOff>3789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27646619-986C-3279-167C-7E121DE67BA4}"/>
            </a:ext>
          </a:extLst>
        </xdr:cNvPr>
        <xdr:cNvSpPr/>
      </xdr:nvSpPr>
      <xdr:spPr>
        <a:xfrm>
          <a:off x="6866282" y="3246783"/>
          <a:ext cx="3006588" cy="1860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Due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 Task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197827</xdr:colOff>
      <xdr:row>7</xdr:row>
      <xdr:rowOff>21981</xdr:rowOff>
    </xdr:from>
    <xdr:to>
      <xdr:col>4</xdr:col>
      <xdr:colOff>22411</xdr:colOff>
      <xdr:row>8</xdr:row>
      <xdr:rowOff>161192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6AF7717-22B8-1550-EF13-4AF3A099B99A}"/>
            </a:ext>
          </a:extLst>
        </xdr:cNvPr>
        <xdr:cNvSpPr/>
      </xdr:nvSpPr>
      <xdr:spPr>
        <a:xfrm>
          <a:off x="802945" y="1355481"/>
          <a:ext cx="1639937" cy="32971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t>Resource</a:t>
          </a:r>
          <a:r>
            <a:rPr lang="en-US" sz="1000" b="0" i="0" u="none" strike="noStrike" baseline="0">
              <a:solidFill>
                <a:schemeClr val="bg1"/>
              </a:solidFill>
              <a:latin typeface="Calibri"/>
              <a:cs typeface="Calibri"/>
            </a:rPr>
            <a:t> Utilization (Hours)</a:t>
          </a:r>
          <a:endParaRPr lang="en-US" sz="1000" b="0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80213</xdr:colOff>
      <xdr:row>17</xdr:row>
      <xdr:rowOff>88494</xdr:rowOff>
    </xdr:from>
    <xdr:to>
      <xdr:col>1</xdr:col>
      <xdr:colOff>505239</xdr:colOff>
      <xdr:row>18</xdr:row>
      <xdr:rowOff>148651</xdr:rowOff>
    </xdr:to>
    <xdr:sp macro="" textlink="Piping_Summary!O34">
      <xdr:nvSpPr>
        <xdr:cNvPr id="59" name="Rectangle 58">
          <a:extLst>
            <a:ext uri="{FF2B5EF4-FFF2-40B4-BE49-F238E27FC236}">
              <a16:creationId xmlns:a16="http://schemas.microsoft.com/office/drawing/2014/main" id="{09A4B0FF-8680-F701-4C56-73DDE503ACEA}"/>
            </a:ext>
          </a:extLst>
        </xdr:cNvPr>
        <xdr:cNvSpPr/>
      </xdr:nvSpPr>
      <xdr:spPr>
        <a:xfrm>
          <a:off x="693126" y="3326994"/>
          <a:ext cx="425026" cy="250657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ED2D62E-54B6-4A37-96A0-84767F29C107}" type="TxLink"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pPr marL="0" indent="0" algn="l"/>
            <a:t>#DIV/0!</a:t>
          </a:fld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529829</xdr:colOff>
      <xdr:row>17</xdr:row>
      <xdr:rowOff>88494</xdr:rowOff>
    </xdr:from>
    <xdr:to>
      <xdr:col>4</xdr:col>
      <xdr:colOff>315829</xdr:colOff>
      <xdr:row>18</xdr:row>
      <xdr:rowOff>148652</xdr:rowOff>
    </xdr:to>
    <xdr:sp macro="" textlink="Upcoming_Deadline!B2">
      <xdr:nvSpPr>
        <xdr:cNvPr id="62" name="Rectangle 61">
          <a:extLst>
            <a:ext uri="{FF2B5EF4-FFF2-40B4-BE49-F238E27FC236}">
              <a16:creationId xmlns:a16="http://schemas.microsoft.com/office/drawing/2014/main" id="{2A06AA40-BB47-6FA2-9973-9096DD776CAC}"/>
            </a:ext>
          </a:extLst>
        </xdr:cNvPr>
        <xdr:cNvSpPr/>
      </xdr:nvSpPr>
      <xdr:spPr>
        <a:xfrm>
          <a:off x="1137048" y="3326994"/>
          <a:ext cx="1607656" cy="250658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t>Resource</a:t>
          </a:r>
          <a:r>
            <a:rPr lang="en-US" sz="900" b="0" i="0" u="none" strike="noStrike" baseline="0">
              <a:solidFill>
                <a:srgbClr val="FFFF00"/>
              </a:solidFill>
              <a:latin typeface="Calibri"/>
              <a:ea typeface="+mn-ea"/>
              <a:cs typeface="Calibri"/>
            </a:rPr>
            <a:t> Utilization Hours</a:t>
          </a:r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18</xdr:row>
      <xdr:rowOff>171320</xdr:rowOff>
    </xdr:from>
    <xdr:to>
      <xdr:col>1</xdr:col>
      <xdr:colOff>406066</xdr:colOff>
      <xdr:row>20</xdr:row>
      <xdr:rowOff>40977</xdr:rowOff>
    </xdr:to>
    <xdr:sp macro="" textlink="Upcoming_Deadline!B2">
      <xdr:nvSpPr>
        <xdr:cNvPr id="63" name="Rectangle 62">
          <a:extLst>
            <a:ext uri="{FF2B5EF4-FFF2-40B4-BE49-F238E27FC236}">
              <a16:creationId xmlns:a16="http://schemas.microsoft.com/office/drawing/2014/main" id="{A25C2860-26F7-951F-1142-AD9C409BDAAE}"/>
            </a:ext>
          </a:extLst>
        </xdr:cNvPr>
        <xdr:cNvSpPr/>
      </xdr:nvSpPr>
      <xdr:spPr>
        <a:xfrm>
          <a:off x="693124" y="3600320"/>
          <a:ext cx="325855" cy="25065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E21F190-3340-43CF-9A6D-3CB945D6178A}" type="TxLink"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18</xdr:row>
      <xdr:rowOff>171320</xdr:rowOff>
    </xdr:from>
    <xdr:to>
      <xdr:col>4</xdr:col>
      <xdr:colOff>315829</xdr:colOff>
      <xdr:row>20</xdr:row>
      <xdr:rowOff>40978</xdr:rowOff>
    </xdr:to>
    <xdr:sp macro="" textlink="Upcoming_Deadline!B2">
      <xdr:nvSpPr>
        <xdr:cNvPr id="65" name="Rectangle 64">
          <a:extLst>
            <a:ext uri="{FF2B5EF4-FFF2-40B4-BE49-F238E27FC236}">
              <a16:creationId xmlns:a16="http://schemas.microsoft.com/office/drawing/2014/main" id="{16ACF94A-F625-8457-2216-6E333A219203}"/>
            </a:ext>
          </a:extLst>
        </xdr:cNvPr>
        <xdr:cNvSpPr/>
      </xdr:nvSpPr>
      <xdr:spPr>
        <a:xfrm>
          <a:off x="1039032" y="3600320"/>
          <a:ext cx="1728449" cy="25065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t>OverDue Tasks (Moderate Risk )</a:t>
          </a:r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20</xdr:row>
      <xdr:rowOff>55363</xdr:rowOff>
    </xdr:from>
    <xdr:to>
      <xdr:col>1</xdr:col>
      <xdr:colOff>406066</xdr:colOff>
      <xdr:row>21</xdr:row>
      <xdr:rowOff>115520</xdr:rowOff>
    </xdr:to>
    <xdr:sp macro="" textlink="Upcoming_Deadline!B3">
      <xdr:nvSpPr>
        <xdr:cNvPr id="66" name="Rectangle 65">
          <a:extLst>
            <a:ext uri="{FF2B5EF4-FFF2-40B4-BE49-F238E27FC236}">
              <a16:creationId xmlns:a16="http://schemas.microsoft.com/office/drawing/2014/main" id="{80A2B595-04ED-7452-03FC-7532D18423BD}"/>
            </a:ext>
          </a:extLst>
        </xdr:cNvPr>
        <xdr:cNvSpPr/>
      </xdr:nvSpPr>
      <xdr:spPr>
        <a:xfrm>
          <a:off x="693124" y="3865363"/>
          <a:ext cx="325855" cy="25065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AA6B5A53-A43B-46E2-AB20-4C19778D944F}" type="TxLink"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20</xdr:row>
      <xdr:rowOff>55363</xdr:rowOff>
    </xdr:from>
    <xdr:to>
      <xdr:col>4</xdr:col>
      <xdr:colOff>315829</xdr:colOff>
      <xdr:row>21</xdr:row>
      <xdr:rowOff>115521</xdr:rowOff>
    </xdr:to>
    <xdr:sp macro="" textlink="Upcoming_Deadline!B2">
      <xdr:nvSpPr>
        <xdr:cNvPr id="67" name="Rectangle 66">
          <a:extLst>
            <a:ext uri="{FF2B5EF4-FFF2-40B4-BE49-F238E27FC236}">
              <a16:creationId xmlns:a16="http://schemas.microsoft.com/office/drawing/2014/main" id="{DC234968-2642-D4D1-92A7-09D21D7A5ABE}"/>
            </a:ext>
          </a:extLst>
        </xdr:cNvPr>
        <xdr:cNvSpPr/>
      </xdr:nvSpPr>
      <xdr:spPr>
        <a:xfrm>
          <a:off x="1039032" y="3865363"/>
          <a:ext cx="1728449" cy="25065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t>OverDue Tasks (High Risk )</a:t>
          </a:r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82827</xdr:colOff>
      <xdr:row>21</xdr:row>
      <xdr:rowOff>138188</xdr:rowOff>
    </xdr:from>
    <xdr:to>
      <xdr:col>4</xdr:col>
      <xdr:colOff>315830</xdr:colOff>
      <xdr:row>26</xdr:row>
      <xdr:rowOff>182217</xdr:rowOff>
    </xdr:to>
    <xdr:sp macro="" textlink="Upcoming_Deadline!B2">
      <xdr:nvSpPr>
        <xdr:cNvPr id="69" name="Rectangle 68">
          <a:extLst>
            <a:ext uri="{FF2B5EF4-FFF2-40B4-BE49-F238E27FC236}">
              <a16:creationId xmlns:a16="http://schemas.microsoft.com/office/drawing/2014/main" id="{EAA1C026-6AE7-B0D6-5507-35067D284DD0}"/>
            </a:ext>
          </a:extLst>
        </xdr:cNvPr>
        <xdr:cNvSpPr/>
      </xdr:nvSpPr>
      <xdr:spPr>
        <a:xfrm>
          <a:off x="692427" y="4138688"/>
          <a:ext cx="2061803" cy="99652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Project</a:t>
          </a:r>
          <a:r>
            <a:rPr lang="en-US" sz="1100" b="1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Summary</a:t>
          </a:r>
        </a:p>
        <a:p>
          <a:pPr algn="ctr"/>
          <a:endParaRPr lang="en-US" sz="1100" b="1" i="0" u="none" strike="noStrike" baseline="0">
            <a:solidFill>
              <a:schemeClr val="accent1">
                <a:lumMod val="50000"/>
              </a:schemeClr>
            </a:solidFill>
            <a:latin typeface="+mn-lt"/>
            <a:cs typeface="+mn-cs"/>
          </a:endParaRP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Start Date : 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End Date 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Team Lead: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Over-all Status : 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latin typeface="+mn-lt"/>
              <a:cs typeface="+mn-cs"/>
            </a:rPr>
            <a:t> 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23</xdr:row>
      <xdr:rowOff>152400</xdr:rowOff>
    </xdr:from>
    <xdr:to>
      <xdr:col>4</xdr:col>
      <xdr:colOff>266700</xdr:colOff>
      <xdr:row>24</xdr:row>
      <xdr:rowOff>114300</xdr:rowOff>
    </xdr:to>
    <xdr:sp macro="" textlink="Piping_Data!V15">
      <xdr:nvSpPr>
        <xdr:cNvPr id="70" name="Rectangle 69">
          <a:extLst>
            <a:ext uri="{FF2B5EF4-FFF2-40B4-BE49-F238E27FC236}">
              <a16:creationId xmlns:a16="http://schemas.microsoft.com/office/drawing/2014/main" id="{16036AE0-B465-6976-324C-395B537AD9A1}"/>
            </a:ext>
          </a:extLst>
        </xdr:cNvPr>
        <xdr:cNvSpPr/>
      </xdr:nvSpPr>
      <xdr:spPr>
        <a:xfrm>
          <a:off x="1390650" y="4533900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C0DA72-494B-484B-9A11-560329A9F072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Monday, 17 July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24</xdr:row>
      <xdr:rowOff>104775</xdr:rowOff>
    </xdr:from>
    <xdr:to>
      <xdr:col>4</xdr:col>
      <xdr:colOff>266700</xdr:colOff>
      <xdr:row>25</xdr:row>
      <xdr:rowOff>66675</xdr:rowOff>
    </xdr:to>
    <xdr:sp macro="" textlink="Piping_Data!V17">
      <xdr:nvSpPr>
        <xdr:cNvPr id="71" name="Rectangle 70">
          <a:extLst>
            <a:ext uri="{FF2B5EF4-FFF2-40B4-BE49-F238E27FC236}">
              <a16:creationId xmlns:a16="http://schemas.microsoft.com/office/drawing/2014/main" id="{7A5F5F84-4671-580C-6E6D-C56320E04D17}"/>
            </a:ext>
          </a:extLst>
        </xdr:cNvPr>
        <xdr:cNvSpPr/>
      </xdr:nvSpPr>
      <xdr:spPr>
        <a:xfrm>
          <a:off x="1390650" y="467677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3B3B6C-DAFF-4D7D-9284-B730DC65D761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Friday, 25 August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25</xdr:row>
      <xdr:rowOff>47625</xdr:rowOff>
    </xdr:from>
    <xdr:to>
      <xdr:col>4</xdr:col>
      <xdr:colOff>266700</xdr:colOff>
      <xdr:row>26</xdr:row>
      <xdr:rowOff>9525</xdr:rowOff>
    </xdr:to>
    <xdr:sp macro="" textlink="Piping_Data!W2">
      <xdr:nvSpPr>
        <xdr:cNvPr id="72" name="Rectangle 71">
          <a:extLst>
            <a:ext uri="{FF2B5EF4-FFF2-40B4-BE49-F238E27FC236}">
              <a16:creationId xmlns:a16="http://schemas.microsoft.com/office/drawing/2014/main" id="{E1FC4A66-A322-5616-95B9-9C9EF65DEBC5}"/>
            </a:ext>
          </a:extLst>
        </xdr:cNvPr>
        <xdr:cNvSpPr/>
      </xdr:nvSpPr>
      <xdr:spPr>
        <a:xfrm>
          <a:off x="1390650" y="481012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81330A0-A8ED-4BE0-9DB3-573C88C83EE4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Tosin Lasisi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390525</xdr:colOff>
      <xdr:row>26</xdr:row>
      <xdr:rowOff>0</xdr:rowOff>
    </xdr:from>
    <xdr:to>
      <xdr:col>4</xdr:col>
      <xdr:colOff>251325</xdr:colOff>
      <xdr:row>26</xdr:row>
      <xdr:rowOff>152400</xdr:rowOff>
    </xdr:to>
    <xdr:sp macro="" textlink="Piping_Data!V17">
      <xdr:nvSpPr>
        <xdr:cNvPr id="73" name="Rectangle 72">
          <a:extLst>
            <a:ext uri="{FF2B5EF4-FFF2-40B4-BE49-F238E27FC236}">
              <a16:creationId xmlns:a16="http://schemas.microsoft.com/office/drawing/2014/main" id="{45C3F59C-BE80-BBBE-2E15-D279E9ACFE4E}"/>
            </a:ext>
          </a:extLst>
        </xdr:cNvPr>
        <xdr:cNvSpPr/>
      </xdr:nvSpPr>
      <xdr:spPr>
        <a:xfrm>
          <a:off x="1609725" y="4953000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276225</xdr:colOff>
      <xdr:row>25</xdr:row>
      <xdr:rowOff>180975</xdr:rowOff>
    </xdr:from>
    <xdr:to>
      <xdr:col>4</xdr:col>
      <xdr:colOff>137025</xdr:colOff>
      <xdr:row>26</xdr:row>
      <xdr:rowOff>142875</xdr:rowOff>
    </xdr:to>
    <xdr:sp macro="" textlink="Piping_Data!V22">
      <xdr:nvSpPr>
        <xdr:cNvPr id="74" name="Rectangle 73">
          <a:extLst>
            <a:ext uri="{FF2B5EF4-FFF2-40B4-BE49-F238E27FC236}">
              <a16:creationId xmlns:a16="http://schemas.microsoft.com/office/drawing/2014/main" id="{4F85E5CA-FDB5-F1AE-7AFC-D87E9644BB32}"/>
            </a:ext>
          </a:extLst>
        </xdr:cNvPr>
        <xdr:cNvSpPr/>
      </xdr:nvSpPr>
      <xdr:spPr>
        <a:xfrm>
          <a:off x="1495425" y="4943475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DD91C88-06BA-4F8D-A1F5-FBAB3FAA9407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In-time</a:t>
          </a:fld>
          <a:endParaRPr lang="en-NG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13</xdr:col>
      <xdr:colOff>95252</xdr:colOff>
      <xdr:row>13</xdr:row>
      <xdr:rowOff>190485</xdr:rowOff>
    </xdr:from>
    <xdr:to>
      <xdr:col>14</xdr:col>
      <xdr:colOff>133351</xdr:colOff>
      <xdr:row>15</xdr:row>
      <xdr:rowOff>9345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606A2A52-4DDE-00FC-A526-C2878E53D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2" y="2666985"/>
          <a:ext cx="200023" cy="199860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28576</xdr:colOff>
      <xdr:row>10</xdr:row>
      <xdr:rowOff>57150</xdr:rowOff>
    </xdr:from>
    <xdr:to>
      <xdr:col>14</xdr:col>
      <xdr:colOff>190501</xdr:colOff>
      <xdr:row>11</xdr:row>
      <xdr:rowOff>190499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1A81C167-E426-BF79-8C33-4C768CD3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6" y="1962150"/>
          <a:ext cx="323849" cy="323849"/>
        </a:xfrm>
        <a:prstGeom prst="rect">
          <a:avLst/>
        </a:prstGeom>
      </xdr:spPr>
    </xdr:pic>
    <xdr:clientData/>
  </xdr:twoCellAnchor>
  <xdr:twoCellAnchor editAs="oneCell">
    <xdr:from>
      <xdr:col>13</xdr:col>
      <xdr:colOff>89648</xdr:colOff>
      <xdr:row>18</xdr:row>
      <xdr:rowOff>155039</xdr:rowOff>
    </xdr:from>
    <xdr:to>
      <xdr:col>14</xdr:col>
      <xdr:colOff>212912</xdr:colOff>
      <xdr:row>20</xdr:row>
      <xdr:rowOff>56028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543E41FF-55C3-02F7-FC3A-26BEECC29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1177" y="3584039"/>
          <a:ext cx="280146" cy="281989"/>
        </a:xfrm>
        <a:prstGeom prst="rect">
          <a:avLst/>
        </a:prstGeom>
      </xdr:spPr>
    </xdr:pic>
    <xdr:clientData/>
  </xdr:twoCellAnchor>
  <xdr:twoCellAnchor>
    <xdr:from>
      <xdr:col>14</xdr:col>
      <xdr:colOff>22409</xdr:colOff>
      <xdr:row>11</xdr:row>
      <xdr:rowOff>134470</xdr:rowOff>
    </xdr:from>
    <xdr:to>
      <xdr:col>14</xdr:col>
      <xdr:colOff>26009</xdr:colOff>
      <xdr:row>13</xdr:row>
      <xdr:rowOff>168088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A4D80A39-C8E3-2897-C7C5-909409099378}"/>
            </a:ext>
          </a:extLst>
        </xdr:cNvPr>
        <xdr:cNvSpPr/>
      </xdr:nvSpPr>
      <xdr:spPr>
        <a:xfrm>
          <a:off x="9950821" y="2229970"/>
          <a:ext cx="3600" cy="4146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25114</xdr:colOff>
      <xdr:row>15</xdr:row>
      <xdr:rowOff>89647</xdr:rowOff>
    </xdr:from>
    <xdr:to>
      <xdr:col>14</xdr:col>
      <xdr:colOff>28714</xdr:colOff>
      <xdr:row>18</xdr:row>
      <xdr:rowOff>123265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BD7698D6-4279-DAFC-FB5A-364B0B8D8792}"/>
            </a:ext>
          </a:extLst>
        </xdr:cNvPr>
        <xdr:cNvSpPr/>
      </xdr:nvSpPr>
      <xdr:spPr>
        <a:xfrm>
          <a:off x="9953526" y="2947147"/>
          <a:ext cx="3600" cy="6051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235323</xdr:colOff>
      <xdr:row>10</xdr:row>
      <xdr:rowOff>123265</xdr:rowOff>
    </xdr:from>
    <xdr:to>
      <xdr:col>17</xdr:col>
      <xdr:colOff>134470</xdr:colOff>
      <xdr:row>13</xdr:row>
      <xdr:rowOff>33618</xdr:rowOff>
    </xdr:to>
    <xdr:sp macro="" textlink="Piping_Data!Z24">
      <xdr:nvSpPr>
        <xdr:cNvPr id="86" name="Rectangle 85">
          <a:extLst>
            <a:ext uri="{FF2B5EF4-FFF2-40B4-BE49-F238E27FC236}">
              <a16:creationId xmlns:a16="http://schemas.microsoft.com/office/drawing/2014/main" id="{2B3CB3A6-6F83-3666-9EDA-26CD476871C3}"/>
            </a:ext>
          </a:extLst>
        </xdr:cNvPr>
        <xdr:cNvSpPr/>
      </xdr:nvSpPr>
      <xdr:spPr>
        <a:xfrm>
          <a:off x="10163735" y="2028265"/>
          <a:ext cx="1714500" cy="4818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542AA3F-DA69-47DB-BB05-F9BE54DEBCD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#REF!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13</xdr:row>
      <xdr:rowOff>123265</xdr:rowOff>
    </xdr:from>
    <xdr:to>
      <xdr:col>17</xdr:col>
      <xdr:colOff>134470</xdr:colOff>
      <xdr:row>18</xdr:row>
      <xdr:rowOff>112059</xdr:rowOff>
    </xdr:to>
    <xdr:sp macro="" textlink="Piping_Data!Z25">
      <xdr:nvSpPr>
        <xdr:cNvPr id="68" name="Rectangle 67">
          <a:extLst>
            <a:ext uri="{FF2B5EF4-FFF2-40B4-BE49-F238E27FC236}">
              <a16:creationId xmlns:a16="http://schemas.microsoft.com/office/drawing/2014/main" id="{C720192D-6A75-43EF-7E77-708DFE3B9077}"/>
            </a:ext>
          </a:extLst>
        </xdr:cNvPr>
        <xdr:cNvSpPr/>
      </xdr:nvSpPr>
      <xdr:spPr>
        <a:xfrm>
          <a:off x="10163735" y="2599765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09EC1AF-5725-4184-AA9D-8EF2742B2F3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#REF!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19</xdr:row>
      <xdr:rowOff>11206</xdr:rowOff>
    </xdr:from>
    <xdr:to>
      <xdr:col>17</xdr:col>
      <xdr:colOff>134470</xdr:colOff>
      <xdr:row>24</xdr:row>
      <xdr:rowOff>0</xdr:rowOff>
    </xdr:to>
    <xdr:sp macro="" textlink="Piping_Data!Z23">
      <xdr:nvSpPr>
        <xdr:cNvPr id="77" name="Rectangle 76">
          <a:extLst>
            <a:ext uri="{FF2B5EF4-FFF2-40B4-BE49-F238E27FC236}">
              <a16:creationId xmlns:a16="http://schemas.microsoft.com/office/drawing/2014/main" id="{8EFF1997-7769-870D-2B44-7CB9DC1DCAC7}"/>
            </a:ext>
          </a:extLst>
        </xdr:cNvPr>
        <xdr:cNvSpPr/>
      </xdr:nvSpPr>
      <xdr:spPr>
        <a:xfrm>
          <a:off x="10163735" y="3630706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B18D345-9445-444B-B046-9AF2623F617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#REF!</a:t>
          </a:fld>
          <a:endParaRPr lang="en-NG" sz="9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0.25703</cdr:x>
      <cdr:y>0.12544</cdr:y>
    </cdr:from>
    <cdr:to>
      <cdr:x>0.86995</cdr:x>
      <cdr:y>0.85714</cdr:y>
    </cdr:to>
    <cdr:sp macro="" textlink="Piping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289060" y="159578"/>
          <a:ext cx="689313" cy="930828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#DIV/0!</a:t>
          </a:fld>
          <a:endParaRPr lang="en-US" sz="1000" b="1">
            <a:solidFill>
              <a:schemeClr val="accent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1</xdr:col>
      <xdr:colOff>9525</xdr:colOff>
      <xdr:row>57</xdr:row>
      <xdr:rowOff>33618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6B22E5-6634-4E4A-9CD3-1D26481A9880}"/>
            </a:ext>
          </a:extLst>
        </xdr:cNvPr>
        <xdr:cNvSpPr/>
      </xdr:nvSpPr>
      <xdr:spPr>
        <a:xfrm>
          <a:off x="28575" y="9525"/>
          <a:ext cx="586068" cy="8596593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10</xdr:row>
      <xdr:rowOff>131013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EA0BF-30C2-46E0-8552-2E123C931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589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2B0768-F471-4E60-A08E-A4E2E41DAB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277F41-7471-433B-AF00-50CBFB59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438152</xdr:colOff>
      <xdr:row>19</xdr:row>
      <xdr:rowOff>5443</xdr:rowOff>
    </xdr:from>
    <xdr:to>
      <xdr:col>3</xdr:col>
      <xdr:colOff>457200</xdr:colOff>
      <xdr:row>25</xdr:row>
      <xdr:rowOff>34018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C1A34F-61BD-D7CC-634F-B6E1D83D3E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</xdr:col>
      <xdr:colOff>9525</xdr:colOff>
      <xdr:row>26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0B19FA-A393-4806-AA38-CE586FB8435A}"/>
            </a:ext>
          </a:extLst>
        </xdr:cNvPr>
        <xdr:cNvSpPr/>
      </xdr:nvSpPr>
      <xdr:spPr>
        <a:xfrm>
          <a:off x="28575" y="9525"/>
          <a:ext cx="590550" cy="51149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0</xdr:colOff>
      <xdr:row>9</xdr:row>
      <xdr:rowOff>10550</xdr:rowOff>
    </xdr:from>
    <xdr:to>
      <xdr:col>1</xdr:col>
      <xdr:colOff>38711</xdr:colOff>
      <xdr:row>11</xdr:row>
      <xdr:rowOff>153425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97615B-55C1-4D5E-B7CF-0D5453167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5050"/>
          <a:ext cx="64382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C9E801-F356-48B0-8784-116D4F248D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76200</xdr:colOff>
      <xdr:row>5</xdr:row>
      <xdr:rowOff>97037</xdr:rowOff>
    </xdr:to>
    <xdr:pic>
      <xdr:nvPicPr>
        <xdr:cNvPr id="7" name="Pictur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7477803-CECB-4CE0-BC3F-7E0751B4C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18</xdr:col>
      <xdr:colOff>244848</xdr:colOff>
      <xdr:row>1</xdr:row>
      <xdr:rowOff>96650</xdr:rowOff>
    </xdr:from>
    <xdr:to>
      <xdr:col>24</xdr:col>
      <xdr:colOff>103655</xdr:colOff>
      <xdr:row>15</xdr:row>
      <xdr:rowOff>172850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171C5EE-C832-AA1B-1C27-7585F993D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26</xdr:row>
      <xdr:rowOff>100012</xdr:rowOff>
    </xdr:from>
    <xdr:to>
      <xdr:col>5</xdr:col>
      <xdr:colOff>1171575</xdr:colOff>
      <xdr:row>40</xdr:row>
      <xdr:rowOff>176212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29D9691-2B5A-3464-547E-A633AC608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85725</xdr:colOff>
      <xdr:row>29</xdr:row>
      <xdr:rowOff>76200</xdr:rowOff>
    </xdr:from>
    <xdr:to>
      <xdr:col>5</xdr:col>
      <xdr:colOff>171450</xdr:colOff>
      <xdr:row>32</xdr:row>
      <xdr:rowOff>114300</xdr:rowOff>
    </xdr:to>
    <xdr:sp macro="" textlink="$N$32">
      <xdr:nvSpPr>
        <xdr:cNvPr id="12" name="Rectangle: Rounded Corners 11">
          <a:extLst>
            <a:ext uri="{FF2B5EF4-FFF2-40B4-BE49-F238E27FC236}">
              <a16:creationId xmlns:a16="http://schemas.microsoft.com/office/drawing/2014/main" id="{98939E5D-F163-D8B6-2D4E-CD485A31AD40}"/>
            </a:ext>
          </a:extLst>
        </xdr:cNvPr>
        <xdr:cNvSpPr/>
      </xdr:nvSpPr>
      <xdr:spPr>
        <a:xfrm>
          <a:off x="2905125" y="5600700"/>
          <a:ext cx="885825" cy="609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AA4706-AC4B-4969-B110-1D73C2F45307}" type="TxLink">
            <a:rPr lang="en-US" sz="1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97</a:t>
          </a:fld>
          <a:endParaRPr lang="en-NG" sz="1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200025</xdr:colOff>
      <xdr:row>41</xdr:row>
      <xdr:rowOff>142874</xdr:rowOff>
    </xdr:from>
    <xdr:to>
      <xdr:col>5</xdr:col>
      <xdr:colOff>581025</xdr:colOff>
      <xdr:row>54</xdr:row>
      <xdr:rowOff>80961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82B74B6-22CF-D523-6B1C-5B767DE85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419100</xdr:colOff>
      <xdr:row>17</xdr:row>
      <xdr:rowOff>95249</xdr:rowOff>
    </xdr:from>
    <xdr:to>
      <xdr:col>5</xdr:col>
      <xdr:colOff>1104899</xdr:colOff>
      <xdr:row>21</xdr:row>
      <xdr:rowOff>47624</xdr:rowOff>
    </xdr:to>
    <xdr:sp macro="" textlink="$F$16">
      <xdr:nvSpPr>
        <xdr:cNvPr id="15" name="Rectangle 14">
          <a:extLst>
            <a:ext uri="{FF2B5EF4-FFF2-40B4-BE49-F238E27FC236}">
              <a16:creationId xmlns:a16="http://schemas.microsoft.com/office/drawing/2014/main" id="{B3B8F7F2-3B27-AABA-4FEF-D9265DC0B8D4}"/>
            </a:ext>
          </a:extLst>
        </xdr:cNvPr>
        <xdr:cNvSpPr/>
      </xdr:nvSpPr>
      <xdr:spPr>
        <a:xfrm>
          <a:off x="4038600" y="3333749"/>
          <a:ext cx="685799" cy="7143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B5E9C61-32DB-4E6A-BE19-87C88322D5E2}" type="TxLink">
            <a:rPr lang="en-US" sz="2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#DIV/0!</a:t>
          </a:fld>
          <a:endParaRPr lang="en-NG" sz="2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21</xdr:row>
      <xdr:rowOff>171450</xdr:rowOff>
    </xdr:from>
    <xdr:to>
      <xdr:col>5</xdr:col>
      <xdr:colOff>1619250</xdr:colOff>
      <xdr:row>23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1149CF98-8831-421E-07A8-51B6D8E5326D}"/>
            </a:ext>
          </a:extLst>
        </xdr:cNvPr>
        <xdr:cNvSpPr/>
      </xdr:nvSpPr>
      <xdr:spPr>
        <a:xfrm>
          <a:off x="3619500" y="4171950"/>
          <a:ext cx="161925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24</xdr:col>
      <xdr:colOff>268939</xdr:colOff>
      <xdr:row>1</xdr:row>
      <xdr:rowOff>107575</xdr:rowOff>
    </xdr:from>
    <xdr:to>
      <xdr:col>31</xdr:col>
      <xdr:colOff>526674</xdr:colOff>
      <xdr:row>15</xdr:row>
      <xdr:rowOff>183775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82DBDC-0D6D-8192-B733-404858BA94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616322</xdr:colOff>
      <xdr:row>48</xdr:row>
      <xdr:rowOff>180414</xdr:rowOff>
    </xdr:from>
    <xdr:to>
      <xdr:col>17</xdr:col>
      <xdr:colOff>560292</xdr:colOff>
      <xdr:row>63</xdr:row>
      <xdr:rowOff>66114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34A204-E65D-0F8D-5378-19799581A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224117</xdr:colOff>
      <xdr:row>64</xdr:row>
      <xdr:rowOff>66755</xdr:rowOff>
    </xdr:from>
    <xdr:to>
      <xdr:col>17</xdr:col>
      <xdr:colOff>168087</xdr:colOff>
      <xdr:row>78</xdr:row>
      <xdr:rowOff>142955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A497718-7D51-7B11-E298-0B9478F77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268942</xdr:colOff>
      <xdr:row>21</xdr:row>
      <xdr:rowOff>44823</xdr:rowOff>
    </xdr:from>
    <xdr:to>
      <xdr:col>22</xdr:col>
      <xdr:colOff>515471</xdr:colOff>
      <xdr:row>33</xdr:row>
      <xdr:rowOff>123265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B9B2167-9F71-E012-972A-8F69A598D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156482</xdr:colOff>
      <xdr:row>34</xdr:row>
      <xdr:rowOff>179614</xdr:rowOff>
    </xdr:from>
    <xdr:to>
      <xdr:col>24</xdr:col>
      <xdr:colOff>591910</xdr:colOff>
      <xdr:row>49</xdr:row>
      <xdr:rowOff>65314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7D9B922-9CA9-235E-6727-C7D715B9F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387804</xdr:colOff>
      <xdr:row>56</xdr:row>
      <xdr:rowOff>43543</xdr:rowOff>
    </xdr:from>
    <xdr:to>
      <xdr:col>6</xdr:col>
      <xdr:colOff>319768</xdr:colOff>
      <xdr:row>71</xdr:row>
      <xdr:rowOff>108857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CDBA3FF-FE76-DE9D-9393-A85618A85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</cdr:x>
      <cdr:y>0.12544</cdr:y>
    </cdr:from>
    <cdr:to>
      <cdr:x>0.76571</cdr:x>
      <cdr:y>0.85714</cdr:y>
    </cdr:to>
    <cdr:sp macro="" textlink="Piping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400048" y="146958"/>
          <a:ext cx="876300" cy="85725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#DIV/0!</a:t>
          </a:fld>
          <a:endParaRPr lang="en-US" sz="1600" b="1">
            <a:solidFill>
              <a:schemeClr val="accent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7CBE4A-711D-4DFD-A230-2B625CF92D21}" name="Table5" displayName="Table5" ref="J19:M27" totalsRowShown="0" dataDxfId="202">
  <autoFilter ref="J19:M27" xr:uid="{DB7CBE4A-711D-4DFD-A230-2B625CF92D21}">
    <filterColumn colId="0" hiddenButton="1"/>
    <filterColumn colId="1" hiddenButton="1"/>
    <filterColumn colId="2" hiddenButton="1"/>
    <filterColumn colId="3" hiddenButton="1"/>
  </autoFilter>
  <tableColumns count="4">
    <tableColumn id="1" xr3:uid="{E4080DC8-C20E-40BE-85E8-478B14BE884A}" name="Owner" dataDxfId="201">
      <calculatedColumnFormula>Upcoming_Deadline!C6</calculatedColumnFormula>
    </tableColumn>
    <tableColumn id="2" xr3:uid="{D4024918-E255-4EE1-9C94-ECAD473F2B31}" name="Task" dataDxfId="200">
      <calculatedColumnFormula>Upcoming_Deadline!B6</calculatedColumnFormula>
    </tableColumn>
    <tableColumn id="3" xr3:uid="{AD0ED009-23CA-403F-A59F-7395406C211B}" name="% Completion" dataDxfId="199">
      <calculatedColumnFormula>Upcoming_Deadline!F6</calculatedColumnFormula>
    </tableColumn>
    <tableColumn id="4" xr3:uid="{1A5EB811-57FB-48EC-BAA5-AD6A47B6ACDD}" name="Comment" dataDxfId="198">
      <calculatedColumnFormula>Upcoming_Deadline!G6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F44191-1A58-4DD3-A0D0-C281FCE7EA93}" name="Table2" displayName="Table2" ref="U4:W13" headerRowDxfId="71" dataDxfId="70" totalsRowDxfId="69">
  <autoFilter ref="U4:W13" xr:uid="{55F44191-1A58-4DD3-A0D0-C281FCE7EA93}"/>
  <tableColumns count="3">
    <tableColumn id="1" xr3:uid="{763F26D4-F828-4DC6-85E4-09DC28BEE210}" name="Undone" dataDxfId="68"/>
    <tableColumn id="2" xr3:uid="{C0FED891-3925-4627-8A7A-331E0D4B4237}" name="InProgress" dataDxfId="67"/>
    <tableColumn id="3" xr3:uid="{C3CE07BE-90B3-49C1-9B29-41665494FE4D}" name="Complete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5D718C-C68E-4E6D-AA7D-8164D8C8F31C}" name="LogTable" displayName="LogTable" ref="U27:AF29" totalsRowCount="1" headerRowDxfId="65" dataDxfId="64" totalsRowDxfId="63">
  <autoFilter ref="U27:AF28" xr:uid="{1E5D718C-C68E-4E6D-AA7D-8164D8C8F31C}"/>
  <tableColumns count="12">
    <tableColumn id="1" xr3:uid="{478DE745-7B21-404D-9AB0-6D9A31E4212E}" name="Name" totalsRowLabel="Total" dataDxfId="62"/>
    <tableColumn id="2" xr3:uid="{25C0DB5F-F3D4-4443-9C7D-9A906AB18EC9}" name="Status" dataDxfId="61"/>
    <tableColumn id="3" xr3:uid="{E872DEB0-2BFA-45D8-91FD-E82DB1F25340}" name="Structural_name" dataDxfId="60"/>
    <tableColumn id="4" xr3:uid="{5B707313-8592-40C5-93E5-EE57954E50F4}" name="start_Date" dataDxfId="59"/>
    <tableColumn id="5" xr3:uid="{4CCA8A60-500D-4F16-A1E7-EC86C3C55095}" name="End_Date" dataDxfId="58"/>
    <tableColumn id="6" xr3:uid="{49DAABEC-15E9-4D47-922A-2DBAE238F2A6}" name="Comment" dataDxfId="57"/>
    <tableColumn id="7" xr3:uid="{BD071C28-F5C0-4E37-B935-6D66B1C95610}" name="Time_Taken" totalsRowFunction="sum" dataDxfId="56"/>
    <tableColumn id="8" xr3:uid="{9DC3EE6F-EDA8-4AB7-847C-4167918501A1}" name="Alloted_Time" totalsRowFunction="sum" dataDxfId="55"/>
    <tableColumn id="12" xr3:uid="{BC6750DC-4A05-46E0-ADD8-664228BA0356}" name="Column1" dataDxfId="54"/>
    <tableColumn id="10" xr3:uid="{273B5862-B06A-43A4-BB8E-855A4581958E}" name="cumulative_alloted_time" dataDxfId="53"/>
    <tableColumn id="13" xr3:uid="{8C249F81-9380-40EA-A690-FC8C51D2DCFA}" name="column 2" dataDxfId="52"/>
    <tableColumn id="14" xr3:uid="{EA43AA8F-859C-4AAA-84A7-4B05C5F9C884}" name="cumulative_time-taken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54C02F-6E12-4BB5-B7B1-E38373ACC410}" name="Table37" displayName="Table37" ref="B4:C6" headerRowCount="0" totalsRowShown="0" headerRowDxfId="50" dataDxfId="49">
  <tableColumns count="2">
    <tableColumn id="1" xr3:uid="{78890C23-6C3C-439C-AFD4-71ABE2ABE683}" name="Column1" dataDxfId="48"/>
    <tableColumn id="2" xr3:uid="{E078180C-5D0F-4873-BBB3-CB9B6EFF8458}" name="Column2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79D25F-DA95-42BB-BD06-CCA4B62B73E7}" name="Table1812" displayName="Table1812" ref="F3:K11" totalsRowCount="1" headerRowDxfId="46" dataDxfId="45" totalsRowDxfId="44">
  <autoFilter ref="F3:K10" xr:uid="{3E79D25F-DA95-42BB-BD06-CCA4B62B73E7}"/>
  <tableColumns count="6">
    <tableColumn id="1" xr3:uid="{A2DCD200-AC6F-4396-A1BB-7DA1DA42D382}" name="Piping_Type" totalsRowLabel="Total" dataDxfId="43" totalsRowDxfId="42"/>
    <tableColumn id="2" xr3:uid="{C9FF49FD-FF68-450A-9CFB-FB715BA71AE3}" name="Count" totalsRowFunction="sum" dataDxfId="41">
      <calculatedColumnFormula>COUNTIF(Piping_Data!C:C,Table1812[[#This Row],[Piping_Type]])</calculatedColumnFormula>
    </tableColumn>
    <tableColumn id="3" xr3:uid="{F1659EE6-7E19-4C19-8495-2352DAC123A5}" name="%_Progress" totalsRowFunction="sum" dataDxfId="40" totalsRowDxfId="39">
      <calculatedColumnFormula>Table1812[[#This Row],[Count]]/(COUNTA(Piping_Data!C:C)-1)*100</calculatedColumnFormula>
    </tableColumn>
    <tableColumn id="4" xr3:uid="{1FC8692F-3F3B-48A2-9117-E549262D4EB4}" name="Task_Completed" totalsRowFunction="sum" dataDxfId="38" totalsRowDxfId="37">
      <calculatedColumnFormula>COUNTIFS(Piping_Data!C:C,Table1812[[#This Row],[Piping_Type]],Piping_Data!M:M,"Complete")</calculatedColumnFormula>
    </tableColumn>
    <tableColumn id="5" xr3:uid="{2C201013-C1A4-439F-8CF8-B468131BAEA4}" name="hours_planned" totalsRowFunction="sum" dataDxfId="36" totalsRowDxfId="35">
      <calculatedColumnFormula>SUMIFS(Piping_Data!G:G,Piping_Data!C:C,F4)</calculatedColumnFormula>
    </tableColumn>
    <tableColumn id="6" xr3:uid="{03F922FD-2FC6-431F-92D8-E9928A4AEBCE}" name="Hours_earned" totalsRowFunction="sum" dataDxfId="34" totalsRowDxfId="33">
      <calculatedColumnFormula>SUMIFS(Piping_Data!L:L,Piping_Data!C:C,F4,Piping_Data!M:M,"Complete")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38775D-5F95-47AD-A975-0E1F4DA4869B}" name="Table2913" displayName="Table2913" ref="M3:O14" totalsRowCount="1" headerRowDxfId="32" dataDxfId="31" totalsRowDxfId="30">
  <autoFilter ref="M3:O13" xr:uid="{E038775D-5F95-47AD-A975-0E1F4DA4869B}"/>
  <tableColumns count="3">
    <tableColumn id="1" xr3:uid="{0B1D831B-61CA-4E75-AD2D-262B534BBD5C}" name="Undone" totalsRowFunction="custom" dataDxfId="29" totalsRowDxfId="28">
      <totalsRowFormula>COUNTIF(Piping_Data!$M:$M,Table2913[[#Headers],[Undone]])</totalsRowFormula>
    </tableColumn>
    <tableColumn id="2" xr3:uid="{0075F782-8C6A-47F5-A89E-DDAC2816482A}" name="InProgress" totalsRowFunction="custom" dataDxfId="27" totalsRowDxfId="26">
      <totalsRowFormula>COUNTIF(Piping_Data!$M:$M,Table2913[[#Headers],[InProgress]])</totalsRowFormula>
    </tableColumn>
    <tableColumn id="3" xr3:uid="{673336D1-7EBB-4A21-B2C5-16E1ED040C92}" name="Complete" totalsRowFunction="custom" dataDxfId="25" totalsRowDxfId="24">
      <totalsRowFormula>COUNTIF(Piping_Data!$M:$M,Table2913[[#Headers],[Complete]])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F3FF8A0-582E-44B0-B184-98F34482F1C9}" name="Table51014" displayName="Table51014" ref="Q3:R12" totalsRowShown="0" headerRowDxfId="23" dataDxfId="22">
  <autoFilter ref="Q3:R12" xr:uid="{3F3FF8A0-582E-44B0-B184-98F34482F1C9}"/>
  <tableColumns count="2">
    <tableColumn id="1" xr3:uid="{C01BDC6A-8662-49E1-96D6-D2D9904C5B82}" name="InProgress" dataDxfId="21"/>
    <tableColumn id="2" xr3:uid="{668884EF-D161-42EC-B64A-EC7FBA02D311}" name="InProgress_Count" dataDxfId="20">
      <calculatedColumnFormula>COUNTIF(Piping_Data!N:N,Table51014[[#This Row],[InProgress]])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7CD8CF5-FC27-4910-924C-CA0A6A97CF6A}" name="Owner" displayName="Owner" ref="M25:R32" totalsRowCount="1" headerRowDxfId="19" dataDxfId="18" totalsRowDxfId="17">
  <autoFilter ref="M25:R31" xr:uid="{C7CD8CF5-FC27-4910-924C-CA0A6A97CF6A}"/>
  <tableColumns count="6">
    <tableColumn id="1" xr3:uid="{A7ADDB45-7D86-4B3C-AA0C-EF2880E2399F}" name="Owner" totalsRowLabel="Total" dataDxfId="16"/>
    <tableColumn id="2" xr3:uid="{6728BC41-657E-44C3-B3B1-71DF2B4A6EF5}" name="All_Task_Count" totalsRowFunction="sum" dataDxfId="15">
      <calculatedColumnFormula>COUNTIF(Piping_Data!F:F,Owner[[#This Row],[Owner]])</calculatedColumnFormula>
    </tableColumn>
    <tableColumn id="4" xr3:uid="{C0F47132-91C1-482D-B475-DEB2C41E2E67}" name="Task-Completed" totalsRowFunction="sum" dataDxfId="14">
      <calculatedColumnFormula>COUNTIFS(Piping_Data!M:M,"Complete",Piping_Data!F:F,M26)</calculatedColumnFormula>
    </tableColumn>
    <tableColumn id="3" xr3:uid="{8931EF1A-28E7-4A0D-8C0C-184FF5EEFE7F}" name="Hours_spent" totalsRowFunction="custom" dataDxfId="13" totalsRowDxfId="12">
      <calculatedColumnFormula>SUMIF(Piping_Data!F:F,M26,Piping_Data!L:L)</calculatedColumnFormula>
      <totalsRowFormula>ROUND(SUBTOTAL(109,Owner[Hours_spent]),0)</totalsRowFormula>
    </tableColumn>
    <tableColumn id="5" xr3:uid="{F7E9E27C-254B-48BB-B671-D9874215FF75}" name="Alloted_Time" totalsRowFunction="sum" dataDxfId="11">
      <calculatedColumnFormula>SUMIF(Piping_Data!F:F,M26,Piping_Data!G:G)</calculatedColumnFormula>
    </tableColumn>
    <tableColumn id="6" xr3:uid="{9CDA1EBA-3350-4DA4-8EC2-0E4D2058FED7}" name="% Contribution by Hours" totalsRowFunction="sum" dataDxfId="10" totalsRowDxfId="9">
      <calculatedColumnFormula>Owner[[#This Row],[Hours_spent]]/Piping_Summary!$P$32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C35581-9791-40C0-BFD3-02A040D50D9F}" name="Table4" displayName="Table4" ref="A5:I24" totalsRowShown="0">
  <autoFilter ref="A5:I24" xr:uid="{72C35581-9791-40C0-BFD3-02A040D50D9F}"/>
  <sortState xmlns:xlrd2="http://schemas.microsoft.com/office/spreadsheetml/2017/richdata2" ref="A6:I24">
    <sortCondition descending="1" ref="H6:H24"/>
  </sortState>
  <tableColumns count="9">
    <tableColumn id="1" xr3:uid="{2E56477A-A419-47A5-8E67-6FEA8BA41881}" name="Task_ID" dataDxfId="8">
      <calculatedColumnFormula array="1" xml:space="preserve"> IFERROR(INDEX(Piping_Data!$B$2:$B$49, SMALL(IF((Piping_Data!$K$2:$K$49 &lt;Upcoming_Deadline!$J$2)*(Piping_Data!$M$2:$M$49="InProgress"),ROW(Piping_Data!$B$2:$B$49) - ROW(Piping_Data!$B$2)+1),ROW() - ROW(Upcoming_Deadline!$A$6)+1)), "")</calculatedColumnFormula>
    </tableColumn>
    <tableColumn id="2" xr3:uid="{97B9C991-7AE9-483C-9EFA-00274326BBBF}" name="Task" dataDxfId="7">
      <calculatedColumnFormula array="1" xml:space="preserve"> IFERROR(INDEX(Piping_Data!$D$2:$D$49, SMALL(IF((Piping_Data!$K$2:$K$49 &lt;(Upcoming_Deadline!$J$2)+1)*(Piping_Data!$M$2:$M$49="InProgress"),ROW(Piping_Data!$D$2:$D$49) - ROW(Piping_Data!$D$2)+1),ROW() - ROW(Upcoming_Deadline!$A$6)+1)), "")</calculatedColumnFormula>
    </tableColumn>
    <tableColumn id="3" xr3:uid="{03CE85F2-306E-42D9-943A-DA4B4B30EE96}" name="Task_Owner" dataDxfId="6">
      <calculatedColumnFormula array="1" xml:space="preserve"> IFERROR(INDEX(Piping_Data!$F$2:$F$49, SMALL(IF((Piping_Data!$K$2:$K$49 &lt;(Upcoming_Deadline!$J$2)+1)*(Piping_Data!$M$2:$M$49="InProgress"),ROW(Piping_Data!$F$2:$F$49) - ROW(Piping_Data!$F$2)+1),ROW() - ROW(Upcoming_Deadline!$A$6)+1)), "")</calculatedColumnFormula>
    </tableColumn>
    <tableColumn id="4" xr3:uid="{75213AFC-7DB0-403C-885E-D306E7460D53}" name="Last_Updated" dataDxfId="5">
      <calculatedColumnFormula array="1" xml:space="preserve"> IFERROR(INDEX(Piping_Data!$J$2:$J$49, SMALL(IF((Piping_Data!$K$2:$K$49 &lt;(Upcoming_Deadline!$J$2)+1)*(Piping_Data!$M$2:$M$49="InProgress"),ROW(Piping_Data!$J$2:$J$49) - ROW(Piping_Data!$J$2)+1),ROW() - ROW(Upcoming_Deadline!$A$6)+1)), "")</calculatedColumnFormula>
    </tableColumn>
    <tableColumn id="5" xr3:uid="{D6957866-865E-43EA-96F8-844526FD470A}" name="Status" dataDxfId="4">
      <calculatedColumnFormula array="1" xml:space="preserve"> IFERROR(INDEX(Piping_Data!$M$2:$M$49, SMALL(IF((Piping_Data!$K$2:$K$49 &lt;(Upcoming_Deadline!$J$2)+1)*(Piping_Data!$M$2:$M$49="InProgress"),ROW(Piping_Data!$M$2:$M$49) - ROW(Piping_Data!$M$2)+1),ROW() - ROW(Upcoming_Deadline!$A$6)+1)), "")</calculatedColumnFormula>
    </tableColumn>
    <tableColumn id="6" xr3:uid="{93756E19-A1ED-4987-A60A-EB7D4D19BC34}" name="%_Completion" dataDxfId="3">
      <calculatedColumnFormula array="1" xml:space="preserve"> IFERROR(INDEX(Piping_Data!$N$2:$N$49, SMALL(IF((Piping_Data!$K$2:$K$49 &lt;(Upcoming_Deadline!$J$2)+1)*(Piping_Data!$M$2:$M$49="InProgress"),ROW(Piping_Data!$N$2:$N$49) - ROW(Piping_Data!$N$2)+1),ROW() - ROW(Upcoming_Deadline!$A$6)+1)), "")</calculatedColumnFormula>
    </tableColumn>
    <tableColumn id="7" xr3:uid="{F987E50A-596D-491B-8BF6-A9664AE7A628}" name="Comment" dataDxfId="2">
      <calculatedColumnFormula array="1" xml:space="preserve"> IFERROR(INDEX(Piping_Data!$Q$2:$Q$49, SMALL(IF((Piping_Data!$K$2:$K$49&lt;(Upcoming_Deadline!$J$2)+1)*(Piping_Data!$M$2:$M$49="InProgress"),ROW(Piping_Data!$Q$2:$Q$49) - ROW(Piping_Data!$Q$2)+1),ROW() - ROW(Upcoming_Deadline!$A$6)+1)), "")</calculatedColumnFormula>
    </tableColumn>
    <tableColumn id="8" xr3:uid="{7DC2D435-C645-45DD-BD9D-3E1E5455D68D}" name="Expected_end_Date" dataDxfId="1">
      <calculatedColumnFormula array="1" xml:space="preserve"> IFERROR(INDEX(Piping_Data!$K$2:$K$49, SMALL(IF((Piping_Data!$K$2:$K$49&lt;(Upcoming_Deadline!$J$2)+1)*(Piping_Data!$M$2:$M$49="InProgress"),ROW(Piping_Data!$K$2:$K$49) - ROW(Piping_Data!$K$2)+1),ROW() - ROW(Upcoming_Deadline!$A$6)+1)), "")</calculatedColumnFormula>
    </tableColumn>
    <tableColumn id="10" xr3:uid="{BC9A0A87-AC50-457C-9E53-ADA11B88A9F2}" name="Days_Due" dataDxfId="0">
      <calculatedColumnFormula xml:space="preserve"> IFERROR(NETWORKDAYS(Table4[[#This Row],[Expected_end_Date]],$J$2,Piping_Data!R2:R6),"")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B9D-23B6-4843-A8B9-B6881C704BC1}">
  <sheetPr codeName="Sheet1"/>
  <dimension ref="J14:T27"/>
  <sheetViews>
    <sheetView showGridLines="0" topLeftCell="A4" zoomScale="85" zoomScaleNormal="85" workbookViewId="0">
      <selection activeCell="S13" sqref="S13"/>
    </sheetView>
  </sheetViews>
  <sheetFormatPr defaultRowHeight="15" x14ac:dyDescent="0.25"/>
  <cols>
    <col min="8" max="8" width="36.7109375" customWidth="1"/>
    <col min="11" max="11" width="21.42578125" bestFit="1" customWidth="1"/>
    <col min="12" max="12" width="14" customWidth="1"/>
    <col min="13" max="13" width="20.28515625" bestFit="1" customWidth="1"/>
    <col min="14" max="14" width="2.42578125" customWidth="1"/>
  </cols>
  <sheetData>
    <row r="14" spans="18:20" x14ac:dyDescent="0.25">
      <c r="T14" s="6"/>
    </row>
    <row r="16" spans="18:20" x14ac:dyDescent="0.25">
      <c r="R16" t="s">
        <v>38</v>
      </c>
    </row>
    <row r="18" spans="10:13" x14ac:dyDescent="0.25">
      <c r="L18" s="4"/>
    </row>
    <row r="19" spans="10:13" x14ac:dyDescent="0.25">
      <c r="J19" t="s">
        <v>1</v>
      </c>
      <c r="K19" t="s">
        <v>28</v>
      </c>
      <c r="L19" t="s">
        <v>37</v>
      </c>
      <c r="M19" t="s">
        <v>21</v>
      </c>
    </row>
    <row r="20" spans="10:13" x14ac:dyDescent="0.25">
      <c r="J20" s="2" t="str">
        <f ca="1">Upcoming_Deadline!C6</f>
        <v/>
      </c>
      <c r="K20" s="3" t="str">
        <f ca="1">Upcoming_Deadline!B6</f>
        <v/>
      </c>
      <c r="L20" s="2" t="str">
        <f ca="1">Upcoming_Deadline!F6</f>
        <v/>
      </c>
      <c r="M20" s="3" t="str">
        <f ca="1">Upcoming_Deadline!G6</f>
        <v/>
      </c>
    </row>
    <row r="21" spans="10:13" x14ac:dyDescent="0.25">
      <c r="J21" s="2" t="str">
        <f ca="1">Upcoming_Deadline!C7</f>
        <v/>
      </c>
      <c r="K21" s="2" t="str">
        <f ca="1">Upcoming_Deadline!B7</f>
        <v/>
      </c>
      <c r="L21" s="2" t="str">
        <f ca="1">Upcoming_Deadline!F7</f>
        <v/>
      </c>
      <c r="M21" s="2" t="str">
        <f ca="1">Upcoming_Deadline!G7</f>
        <v/>
      </c>
    </row>
    <row r="22" spans="10:13" x14ac:dyDescent="0.25">
      <c r="J22" s="2" t="str">
        <f ca="1">Upcoming_Deadline!C8</f>
        <v/>
      </c>
      <c r="K22" s="2" t="str">
        <f ca="1">Upcoming_Deadline!B8</f>
        <v/>
      </c>
      <c r="L22" s="2" t="str">
        <f ca="1">Upcoming_Deadline!F8</f>
        <v/>
      </c>
      <c r="M22" s="2" t="str">
        <f ca="1">Upcoming_Deadline!G8</f>
        <v/>
      </c>
    </row>
    <row r="23" spans="10:13" x14ac:dyDescent="0.25">
      <c r="J23" s="2" t="str">
        <f ca="1">Upcoming_Deadline!C9</f>
        <v/>
      </c>
      <c r="K23" s="2" t="str">
        <f ca="1">Upcoming_Deadline!B9</f>
        <v/>
      </c>
      <c r="L23" s="2" t="str">
        <f ca="1">Upcoming_Deadline!F9</f>
        <v/>
      </c>
      <c r="M23" s="2" t="str">
        <f ca="1">Upcoming_Deadline!G9</f>
        <v/>
      </c>
    </row>
    <row r="24" spans="10:13" x14ac:dyDescent="0.25">
      <c r="J24" s="2" t="str">
        <f ca="1">Upcoming_Deadline!C10</f>
        <v/>
      </c>
      <c r="K24" s="2" t="str">
        <f ca="1">Upcoming_Deadline!B10</f>
        <v/>
      </c>
      <c r="L24" s="2" t="str">
        <f ca="1">Upcoming_Deadline!F10</f>
        <v/>
      </c>
      <c r="M24" s="2" t="str">
        <f ca="1">Upcoming_Deadline!G10</f>
        <v/>
      </c>
    </row>
    <row r="25" spans="10:13" x14ac:dyDescent="0.25">
      <c r="J25" s="2" t="str">
        <f ca="1">Upcoming_Deadline!C11</f>
        <v/>
      </c>
      <c r="K25" s="2" t="str">
        <f ca="1">Upcoming_Deadline!B11</f>
        <v/>
      </c>
      <c r="L25" s="2" t="str">
        <f ca="1">Upcoming_Deadline!F11</f>
        <v/>
      </c>
      <c r="M25" s="2" t="str">
        <f ca="1">Upcoming_Deadline!G11</f>
        <v/>
      </c>
    </row>
    <row r="26" spans="10:13" x14ac:dyDescent="0.25">
      <c r="J26" s="2" t="str">
        <f ca="1">Upcoming_Deadline!C12</f>
        <v/>
      </c>
      <c r="K26" s="2" t="str">
        <f ca="1">Upcoming_Deadline!B12</f>
        <v/>
      </c>
      <c r="L26" s="2" t="str">
        <f ca="1">Upcoming_Deadline!F12</f>
        <v/>
      </c>
      <c r="M26" s="2" t="str">
        <f ca="1">Upcoming_Deadline!G12</f>
        <v/>
      </c>
    </row>
    <row r="27" spans="10:13" x14ac:dyDescent="0.25">
      <c r="J27" s="2" t="str">
        <f ca="1">Upcoming_Deadline!C13</f>
        <v/>
      </c>
      <c r="K27" s="2" t="str">
        <f ca="1">Upcoming_Deadline!B13</f>
        <v/>
      </c>
      <c r="L27" s="2" t="str">
        <f ca="1">Upcoming_Deadline!F13</f>
        <v/>
      </c>
      <c r="M27" s="2" t="str">
        <f ca="1">Upcoming_Deadline!G13</f>
        <v/>
      </c>
    </row>
  </sheetData>
  <sheetProtection algorithmName="SHA-512" hashValue="mcmeFq+9GsRACueP2ABCwEgsrrckBwOMT5hYfgrtUgeybbOliIoX7YjXdSUQTzjIDuvxgBoVTIzjLEow1i2YUw==" saltValue="ckNKcxXX+VS/sJ4Az4IUk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8C2AB-22A8-41C9-B1F0-1BC38C77537E}">
  <sheetPr codeName="Sheet2"/>
  <dimension ref="A1:AF513"/>
  <sheetViews>
    <sheetView tabSelected="1" zoomScale="70" zoomScaleNormal="70" workbookViewId="0">
      <pane xSplit="7" ySplit="1" topLeftCell="H95" activePane="bottomRight" state="frozen"/>
      <selection pane="topRight" activeCell="G1" sqref="G1"/>
      <selection pane="bottomLeft" activeCell="A2" sqref="A2"/>
      <selection pane="bottomRight" activeCell="F77" sqref="F77"/>
    </sheetView>
  </sheetViews>
  <sheetFormatPr defaultRowHeight="15" x14ac:dyDescent="0.25"/>
  <cols>
    <col min="1" max="1" width="9.140625" style="7"/>
    <col min="2" max="2" width="5.85546875" style="7" bestFit="1" customWidth="1"/>
    <col min="3" max="3" width="26.28515625" style="7" bestFit="1" customWidth="1"/>
    <col min="4" max="4" width="25.7109375" style="6" bestFit="1" customWidth="1"/>
    <col min="5" max="5" width="28.28515625" style="7" bestFit="1" customWidth="1"/>
    <col min="6" max="6" width="13.5703125" style="7" bestFit="1" customWidth="1"/>
    <col min="7" max="7" width="22" style="7" bestFit="1" customWidth="1"/>
    <col min="8" max="8" width="21.42578125" style="14" bestFit="1" customWidth="1"/>
    <col min="9" max="9" width="18.140625" style="18" bestFit="1" customWidth="1"/>
    <col min="10" max="10" width="21.42578125" style="14" bestFit="1" customWidth="1"/>
    <col min="11" max="11" width="25.7109375" style="16" bestFit="1" customWidth="1"/>
    <col min="12" max="12" width="15.42578125" style="17" bestFit="1" customWidth="1"/>
    <col min="13" max="13" width="13.85546875" style="9" bestFit="1" customWidth="1"/>
    <col min="14" max="14" width="18.140625" style="12" bestFit="1" customWidth="1"/>
    <col min="15" max="15" width="14.140625" style="7" hidden="1" customWidth="1"/>
    <col min="16" max="16" width="21.5703125" style="7" bestFit="1" customWidth="1"/>
    <col min="17" max="17" width="22" style="7" bestFit="1" customWidth="1"/>
    <col min="18" max="18" width="12.42578125" style="17" bestFit="1" customWidth="1"/>
    <col min="19" max="19" width="21" style="14" hidden="1" customWidth="1"/>
    <col min="20" max="20" width="11.140625" style="17" hidden="1" customWidth="1"/>
    <col min="21" max="21" width="22.5703125" style="17" hidden="1" customWidth="1"/>
    <col min="22" max="22" width="23.42578125" style="17" hidden="1" customWidth="1"/>
    <col min="23" max="23" width="24" style="17" hidden="1" customWidth="1"/>
    <col min="24" max="24" width="16.85546875" style="17" hidden="1" customWidth="1"/>
    <col min="25" max="25" width="16" style="17" hidden="1" customWidth="1"/>
    <col min="26" max="26" width="15.42578125" style="17" hidden="1" customWidth="1"/>
    <col min="27" max="27" width="18.7109375" style="17" hidden="1" customWidth="1"/>
    <col min="28" max="28" width="20" style="17" hidden="1" customWidth="1"/>
    <col min="29" max="29" width="14.42578125" style="17" hidden="1" customWidth="1"/>
    <col min="30" max="30" width="33.140625" style="17" hidden="1" customWidth="1"/>
    <col min="31" max="31" width="15.28515625" style="17" hidden="1" customWidth="1"/>
    <col min="32" max="32" width="31.5703125" style="17" hidden="1" customWidth="1"/>
    <col min="33" max="16384" width="9.140625" style="17"/>
  </cols>
  <sheetData>
    <row r="1" spans="1:26" s="31" customFormat="1" x14ac:dyDescent="0.25">
      <c r="A1" s="7"/>
      <c r="B1" s="26" t="s">
        <v>0</v>
      </c>
      <c r="C1" s="26" t="s">
        <v>62</v>
      </c>
      <c r="D1" s="38" t="s">
        <v>75</v>
      </c>
      <c r="E1" s="26" t="s">
        <v>77</v>
      </c>
      <c r="F1" s="26" t="s">
        <v>1</v>
      </c>
      <c r="G1" s="26" t="s">
        <v>5</v>
      </c>
      <c r="H1" s="27" t="s">
        <v>15</v>
      </c>
      <c r="I1" s="28" t="s">
        <v>16</v>
      </c>
      <c r="J1" s="28" t="s">
        <v>23</v>
      </c>
      <c r="K1" s="29" t="s">
        <v>25</v>
      </c>
      <c r="L1" s="30" t="s">
        <v>24</v>
      </c>
      <c r="M1" s="26" t="s">
        <v>2</v>
      </c>
      <c r="N1" s="26" t="s">
        <v>3</v>
      </c>
      <c r="O1" s="7"/>
      <c r="P1" s="26" t="s">
        <v>4</v>
      </c>
      <c r="Q1" s="26" t="s">
        <v>21</v>
      </c>
      <c r="R1" s="31" t="s">
        <v>26</v>
      </c>
      <c r="S1" s="32"/>
      <c r="V1" s="16"/>
    </row>
    <row r="2" spans="1:26" x14ac:dyDescent="0.25">
      <c r="B2" s="7">
        <v>1</v>
      </c>
      <c r="C2" s="7" t="s">
        <v>63</v>
      </c>
      <c r="D2" s="7" t="s">
        <v>78</v>
      </c>
      <c r="F2" s="7" t="s">
        <v>60</v>
      </c>
      <c r="H2" s="14" t="str">
        <f t="shared" ref="H2:H22" si="0">IF(M2="InProgress",IF(H2="",$V$16,H2),IF(M2="Complete",H2,""))</f>
        <v/>
      </c>
      <c r="I2" s="15" t="str">
        <f t="shared" ref="I2:I46" si="1">IF(M2="Complete", IF(I2="",$V$16,I2),"")</f>
        <v/>
      </c>
      <c r="K2" s="16" t="str">
        <f t="shared" ref="K2:K22" si="2">IFERROR(WORKDAY.INTL(H2, ((G2/8)+IF(MOD(G2,8)&gt;0,1,0)), 1),"")</f>
        <v/>
      </c>
      <c r="L2" s="17" t="str">
        <f>IFERROR(ROUND(IF(WEEKDAY(I2,2)&gt;5,"",IF(INT(H2)=INT(I2),(MOD(I2,1)*24)-(MOD(H2,1)*24),(NETWORKDAYS.INTL(H2,I2,1,$R$2:$R$6)*8)-IF(MOD(H2,1)*24&lt;8,0,IF(MOD(H2,1)*24&gt;16,0,MOD(H2,1)*24 - 8)-IF(MOD(I2,1)*24&gt;16,0,IF(MOD(I2,1)*24&lt;8,0,16-MOD(I2,1)*24))))),2),"")</f>
        <v/>
      </c>
      <c r="M2" s="9" t="s">
        <v>6</v>
      </c>
      <c r="Q2" s="7" t="s">
        <v>31</v>
      </c>
      <c r="R2" s="33">
        <v>45106</v>
      </c>
      <c r="U2" s="34"/>
      <c r="V2" s="34" t="s">
        <v>61</v>
      </c>
      <c r="W2" s="17" t="s">
        <v>76</v>
      </c>
    </row>
    <row r="3" spans="1:26" x14ac:dyDescent="0.25">
      <c r="B3" s="7">
        <v>2</v>
      </c>
      <c r="C3" s="7" t="s">
        <v>63</v>
      </c>
      <c r="D3" s="7" t="s">
        <v>79</v>
      </c>
      <c r="F3" s="7" t="s">
        <v>71</v>
      </c>
      <c r="H3" s="14" t="str">
        <f t="shared" si="0"/>
        <v/>
      </c>
      <c r="I3" s="15" t="str">
        <f t="shared" si="1"/>
        <v/>
      </c>
      <c r="K3" s="16" t="str">
        <f t="shared" si="2"/>
        <v/>
      </c>
      <c r="L3" s="17" t="str">
        <f t="shared" ref="L3:L31" si="3">IFERROR(ROUND(IF(WEEKDAY(I3,2)&gt;5,"",IF(INT(H3)=INT(I3),(MOD(I3,1)*24)-(MOD(H3,1)*24),(NETWORKDAYS.INTL(H3,I3,1,$R$2:$R$6)*8)-IF(MOD(H3,1)*24&lt;8,0,IF(MOD(H3,1)*24&gt;16,0,MOD(H3,1)*24 - 8)-IF(MOD(I3,1)*24&gt;16,0,IF(MOD(I3,1)*24&lt;8,0,16-MOD(I3,1)*24))))),2),"")</f>
        <v/>
      </c>
      <c r="M3" s="9" t="s">
        <v>6</v>
      </c>
      <c r="Q3" s="7" t="s">
        <v>31</v>
      </c>
      <c r="R3" s="33">
        <v>45107</v>
      </c>
      <c r="V3" s="35"/>
    </row>
    <row r="4" spans="1:26" x14ac:dyDescent="0.25">
      <c r="B4" s="7">
        <v>3</v>
      </c>
      <c r="C4" s="7" t="s">
        <v>63</v>
      </c>
      <c r="D4" s="7" t="s">
        <v>80</v>
      </c>
      <c r="F4" s="7" t="s">
        <v>60</v>
      </c>
      <c r="H4" s="14" t="str">
        <f t="shared" si="0"/>
        <v/>
      </c>
      <c r="I4" s="15" t="str">
        <f t="shared" si="1"/>
        <v/>
      </c>
      <c r="L4" s="17" t="str">
        <f t="shared" si="3"/>
        <v/>
      </c>
      <c r="M4" s="9" t="s">
        <v>6</v>
      </c>
      <c r="Q4" s="7" t="s">
        <v>31</v>
      </c>
      <c r="R4" s="33">
        <v>45201</v>
      </c>
      <c r="U4" s="34" t="s">
        <v>6</v>
      </c>
      <c r="V4" s="34" t="s">
        <v>33</v>
      </c>
      <c r="W4" s="34" t="s">
        <v>7</v>
      </c>
    </row>
    <row r="5" spans="1:26" x14ac:dyDescent="0.25">
      <c r="B5" s="7">
        <v>4</v>
      </c>
      <c r="C5" s="7" t="s">
        <v>63</v>
      </c>
      <c r="D5" s="7" t="s">
        <v>81</v>
      </c>
      <c r="F5" s="7" t="s">
        <v>70</v>
      </c>
      <c r="H5" s="14" t="str">
        <f t="shared" si="0"/>
        <v/>
      </c>
      <c r="I5" s="15" t="str">
        <f t="shared" si="1"/>
        <v/>
      </c>
      <c r="L5" s="17" t="str">
        <f t="shared" si="3"/>
        <v/>
      </c>
      <c r="M5" s="9" t="s">
        <v>6</v>
      </c>
      <c r="Q5" s="7" t="s">
        <v>31</v>
      </c>
      <c r="R5" s="33">
        <v>45102</v>
      </c>
      <c r="U5" s="17">
        <v>0</v>
      </c>
      <c r="V5" s="17">
        <v>10</v>
      </c>
      <c r="W5" s="17">
        <v>100</v>
      </c>
    </row>
    <row r="6" spans="1:26" x14ac:dyDescent="0.25">
      <c r="B6" s="7">
        <v>5</v>
      </c>
      <c r="C6" s="7" t="s">
        <v>65</v>
      </c>
      <c r="D6" s="7" t="s">
        <v>82</v>
      </c>
      <c r="F6" s="7" t="s">
        <v>72</v>
      </c>
      <c r="H6" s="14" t="str">
        <f t="shared" si="0"/>
        <v/>
      </c>
      <c r="I6" s="15" t="str">
        <f t="shared" si="1"/>
        <v/>
      </c>
      <c r="K6" s="16" t="str">
        <f t="shared" si="2"/>
        <v/>
      </c>
      <c r="L6" s="17" t="str">
        <f t="shared" si="3"/>
        <v/>
      </c>
      <c r="M6" s="9" t="s">
        <v>6</v>
      </c>
      <c r="Q6" s="7" t="s">
        <v>31</v>
      </c>
      <c r="R6" s="33">
        <v>45103</v>
      </c>
      <c r="V6" s="17">
        <v>20</v>
      </c>
    </row>
    <row r="7" spans="1:26" x14ac:dyDescent="0.25">
      <c r="B7" s="7">
        <v>6</v>
      </c>
      <c r="C7" s="7" t="s">
        <v>63</v>
      </c>
      <c r="D7" s="7" t="s">
        <v>83</v>
      </c>
      <c r="F7" s="7" t="s">
        <v>73</v>
      </c>
      <c r="H7" s="14" t="str">
        <f t="shared" si="0"/>
        <v/>
      </c>
      <c r="I7" s="15" t="str">
        <f t="shared" si="1"/>
        <v/>
      </c>
      <c r="K7" s="16" t="str">
        <f t="shared" si="2"/>
        <v/>
      </c>
      <c r="L7" s="17" t="str">
        <f t="shared" si="3"/>
        <v/>
      </c>
      <c r="M7" s="9" t="s">
        <v>6</v>
      </c>
      <c r="Q7" s="7" t="s">
        <v>31</v>
      </c>
      <c r="V7" s="17">
        <v>30</v>
      </c>
    </row>
    <row r="8" spans="1:26" x14ac:dyDescent="0.25">
      <c r="B8" s="7">
        <v>7</v>
      </c>
      <c r="C8" s="7" t="s">
        <v>65</v>
      </c>
      <c r="D8" s="7" t="s">
        <v>84</v>
      </c>
      <c r="F8" s="7" t="s">
        <v>74</v>
      </c>
      <c r="H8" s="14" t="str">
        <f t="shared" si="0"/>
        <v/>
      </c>
      <c r="I8" s="15" t="str">
        <f t="shared" si="1"/>
        <v/>
      </c>
      <c r="K8" s="16" t="str">
        <f t="shared" si="2"/>
        <v/>
      </c>
      <c r="L8" s="17" t="str">
        <f t="shared" si="3"/>
        <v/>
      </c>
      <c r="M8" s="9" t="s">
        <v>6</v>
      </c>
      <c r="Q8" s="7" t="s">
        <v>31</v>
      </c>
      <c r="V8" s="17">
        <v>40</v>
      </c>
    </row>
    <row r="9" spans="1:26" x14ac:dyDescent="0.25">
      <c r="B9" s="7">
        <v>8</v>
      </c>
      <c r="C9" s="7" t="s">
        <v>63</v>
      </c>
      <c r="D9" s="7" t="s">
        <v>85</v>
      </c>
      <c r="F9" s="7" t="s">
        <v>60</v>
      </c>
      <c r="H9" s="14" t="str">
        <f t="shared" si="0"/>
        <v/>
      </c>
      <c r="I9" s="15" t="str">
        <f t="shared" si="1"/>
        <v/>
      </c>
      <c r="K9" s="16" t="str">
        <f t="shared" si="2"/>
        <v/>
      </c>
      <c r="L9" s="17" t="str">
        <f t="shared" si="3"/>
        <v/>
      </c>
      <c r="M9" s="9" t="s">
        <v>6</v>
      </c>
      <c r="Q9" s="7" t="s">
        <v>31</v>
      </c>
      <c r="V9" s="17">
        <v>50</v>
      </c>
      <c r="Z9" s="34"/>
    </row>
    <row r="10" spans="1:26" x14ac:dyDescent="0.25">
      <c r="B10" s="7">
        <v>9</v>
      </c>
      <c r="C10" s="7" t="s">
        <v>65</v>
      </c>
      <c r="D10" s="7" t="s">
        <v>86</v>
      </c>
      <c r="F10" s="7" t="s">
        <v>71</v>
      </c>
      <c r="H10" s="14" t="str">
        <f t="shared" si="0"/>
        <v/>
      </c>
      <c r="I10" s="15" t="str">
        <f t="shared" si="1"/>
        <v/>
      </c>
      <c r="K10" s="16" t="str">
        <f t="shared" si="2"/>
        <v/>
      </c>
      <c r="L10" s="17" t="str">
        <f t="shared" si="3"/>
        <v/>
      </c>
      <c r="M10" s="9" t="s">
        <v>6</v>
      </c>
      <c r="Q10" s="7" t="s">
        <v>31</v>
      </c>
      <c r="V10" s="17">
        <v>60</v>
      </c>
    </row>
    <row r="11" spans="1:26" x14ac:dyDescent="0.25">
      <c r="B11" s="7">
        <v>11</v>
      </c>
      <c r="C11" s="7" t="s">
        <v>63</v>
      </c>
      <c r="D11" s="7" t="s">
        <v>87</v>
      </c>
      <c r="F11" s="7" t="s">
        <v>73</v>
      </c>
      <c r="H11" s="14" t="str">
        <f t="shared" si="0"/>
        <v/>
      </c>
      <c r="I11" s="15" t="str">
        <f t="shared" si="1"/>
        <v/>
      </c>
      <c r="K11" s="16" t="str">
        <f t="shared" si="2"/>
        <v/>
      </c>
      <c r="L11" s="17" t="str">
        <f t="shared" si="3"/>
        <v/>
      </c>
      <c r="M11" s="9" t="s">
        <v>6</v>
      </c>
      <c r="Q11" s="7" t="s">
        <v>31</v>
      </c>
      <c r="V11" s="17">
        <v>70</v>
      </c>
      <c r="Z11" s="34"/>
    </row>
    <row r="12" spans="1:26" x14ac:dyDescent="0.25">
      <c r="B12" s="7">
        <v>12</v>
      </c>
      <c r="C12" s="7" t="s">
        <v>63</v>
      </c>
      <c r="D12" s="7" t="s">
        <v>88</v>
      </c>
      <c r="F12" s="7" t="s">
        <v>72</v>
      </c>
      <c r="H12" s="14" t="str">
        <f t="shared" si="0"/>
        <v/>
      </c>
      <c r="I12" s="15" t="str">
        <f t="shared" si="1"/>
        <v/>
      </c>
      <c r="K12" s="16" t="str">
        <f t="shared" si="2"/>
        <v/>
      </c>
      <c r="L12" s="17" t="str">
        <f t="shared" si="3"/>
        <v/>
      </c>
      <c r="M12" s="9" t="s">
        <v>6</v>
      </c>
      <c r="Q12" s="7" t="s">
        <v>31</v>
      </c>
      <c r="V12" s="17">
        <v>80</v>
      </c>
    </row>
    <row r="13" spans="1:26" x14ac:dyDescent="0.25">
      <c r="B13" s="7">
        <v>13</v>
      </c>
      <c r="C13" s="7" t="s">
        <v>63</v>
      </c>
      <c r="D13" s="7" t="s">
        <v>89</v>
      </c>
      <c r="F13" s="7" t="s">
        <v>72</v>
      </c>
      <c r="H13" s="14" t="str">
        <f t="shared" si="0"/>
        <v/>
      </c>
      <c r="I13" s="15" t="str">
        <f t="shared" si="1"/>
        <v/>
      </c>
      <c r="K13" s="16" t="str">
        <f t="shared" si="2"/>
        <v/>
      </c>
      <c r="L13" s="17" t="str">
        <f t="shared" si="3"/>
        <v/>
      </c>
      <c r="Q13" s="7" t="s">
        <v>31</v>
      </c>
      <c r="V13" s="17">
        <v>90</v>
      </c>
    </row>
    <row r="14" spans="1:26" x14ac:dyDescent="0.25">
      <c r="B14" s="7">
        <v>14</v>
      </c>
      <c r="C14" s="7" t="s">
        <v>63</v>
      </c>
      <c r="D14" s="7" t="s">
        <v>90</v>
      </c>
      <c r="F14" s="7" t="s">
        <v>72</v>
      </c>
      <c r="H14" s="14" t="str">
        <f t="shared" si="0"/>
        <v/>
      </c>
      <c r="I14" s="15" t="str">
        <f t="shared" si="1"/>
        <v/>
      </c>
      <c r="K14" s="16" t="str">
        <f t="shared" si="2"/>
        <v/>
      </c>
      <c r="L14" s="17" t="str">
        <f t="shared" si="3"/>
        <v/>
      </c>
      <c r="Q14" s="7" t="s">
        <v>31</v>
      </c>
    </row>
    <row r="15" spans="1:26" x14ac:dyDescent="0.25">
      <c r="B15" s="7">
        <v>15</v>
      </c>
      <c r="C15" s="7" t="s">
        <v>63</v>
      </c>
      <c r="D15" s="7" t="s">
        <v>91</v>
      </c>
      <c r="F15" s="7" t="s">
        <v>72</v>
      </c>
      <c r="H15" s="14" t="str">
        <f t="shared" si="0"/>
        <v/>
      </c>
      <c r="I15" s="15" t="str">
        <f t="shared" si="1"/>
        <v/>
      </c>
      <c r="K15" s="16" t="str">
        <f t="shared" si="2"/>
        <v/>
      </c>
      <c r="L15" s="17" t="str">
        <f t="shared" si="3"/>
        <v/>
      </c>
      <c r="Q15" s="7" t="s">
        <v>31</v>
      </c>
      <c r="U15" s="34" t="s">
        <v>15</v>
      </c>
      <c r="V15" s="16">
        <v>45124</v>
      </c>
    </row>
    <row r="16" spans="1:26" x14ac:dyDescent="0.25">
      <c r="B16" s="7">
        <v>16</v>
      </c>
      <c r="C16" s="7" t="s">
        <v>63</v>
      </c>
      <c r="D16" s="7" t="s">
        <v>92</v>
      </c>
      <c r="F16" s="7" t="s">
        <v>72</v>
      </c>
      <c r="H16" s="14" t="str">
        <f t="shared" si="0"/>
        <v/>
      </c>
      <c r="I16" s="15" t="str">
        <f t="shared" si="1"/>
        <v/>
      </c>
      <c r="K16" s="16" t="str">
        <f t="shared" si="2"/>
        <v/>
      </c>
      <c r="L16" s="17" t="str">
        <f t="shared" si="3"/>
        <v/>
      </c>
      <c r="Q16" s="7" t="s">
        <v>31</v>
      </c>
      <c r="U16" s="34" t="s">
        <v>17</v>
      </c>
      <c r="V16" s="16">
        <f ca="1">NOW()</f>
        <v>45138.565434837961</v>
      </c>
    </row>
    <row r="17" spans="2:32" x14ac:dyDescent="0.25">
      <c r="B17" s="7">
        <v>17</v>
      </c>
      <c r="C17" s="7" t="s">
        <v>65</v>
      </c>
      <c r="D17" s="7" t="s">
        <v>93</v>
      </c>
      <c r="F17" s="7" t="s">
        <v>72</v>
      </c>
      <c r="H17" s="14" t="str">
        <f t="shared" si="0"/>
        <v/>
      </c>
      <c r="I17" s="15" t="str">
        <f t="shared" si="1"/>
        <v/>
      </c>
      <c r="K17" s="16" t="str">
        <f t="shared" si="2"/>
        <v/>
      </c>
      <c r="L17" s="17" t="str">
        <f t="shared" si="3"/>
        <v/>
      </c>
      <c r="Q17" s="7" t="s">
        <v>31</v>
      </c>
      <c r="U17" s="34" t="s">
        <v>16</v>
      </c>
      <c r="V17" s="16">
        <v>45163</v>
      </c>
    </row>
    <row r="18" spans="2:32" x14ac:dyDescent="0.25">
      <c r="B18" s="7">
        <v>18</v>
      </c>
      <c r="C18" s="7" t="s">
        <v>63</v>
      </c>
      <c r="D18" s="7" t="s">
        <v>94</v>
      </c>
      <c r="F18" s="7" t="s">
        <v>72</v>
      </c>
      <c r="H18" s="14" t="str">
        <f t="shared" si="0"/>
        <v/>
      </c>
      <c r="I18" s="15" t="str">
        <f t="shared" si="1"/>
        <v/>
      </c>
      <c r="K18" s="16" t="str">
        <f t="shared" si="2"/>
        <v/>
      </c>
      <c r="L18" s="17" t="str">
        <f t="shared" si="3"/>
        <v/>
      </c>
      <c r="Q18" s="7" t="s">
        <v>31</v>
      </c>
    </row>
    <row r="19" spans="2:32" x14ac:dyDescent="0.25">
      <c r="B19" s="7">
        <v>19</v>
      </c>
      <c r="C19" s="7" t="s">
        <v>63</v>
      </c>
      <c r="D19" s="7" t="s">
        <v>95</v>
      </c>
      <c r="F19" s="7" t="s">
        <v>72</v>
      </c>
      <c r="H19" s="14" t="str">
        <f t="shared" si="0"/>
        <v/>
      </c>
      <c r="I19" s="15" t="str">
        <f t="shared" si="1"/>
        <v/>
      </c>
      <c r="K19" s="16" t="str">
        <f t="shared" si="2"/>
        <v/>
      </c>
      <c r="L19" s="17" t="str">
        <f t="shared" si="3"/>
        <v/>
      </c>
      <c r="Q19" s="7" t="s">
        <v>31</v>
      </c>
      <c r="U19" s="34" t="s">
        <v>20</v>
      </c>
      <c r="V19" s="35">
        <f ca="1">ROUND(V17-V16,0)</f>
        <v>24</v>
      </c>
    </row>
    <row r="20" spans="2:32" x14ac:dyDescent="0.25">
      <c r="B20" s="7">
        <v>20</v>
      </c>
      <c r="C20" s="7" t="s">
        <v>63</v>
      </c>
      <c r="D20" s="7" t="s">
        <v>96</v>
      </c>
      <c r="F20" s="7" t="s">
        <v>72</v>
      </c>
      <c r="H20" s="14" t="str">
        <f t="shared" si="0"/>
        <v/>
      </c>
      <c r="I20" s="15" t="str">
        <f t="shared" si="1"/>
        <v/>
      </c>
      <c r="K20" s="16" t="str">
        <f t="shared" si="2"/>
        <v/>
      </c>
      <c r="L20" s="17" t="str">
        <f t="shared" si="3"/>
        <v/>
      </c>
      <c r="Q20" s="7" t="s">
        <v>31</v>
      </c>
      <c r="U20" s="34" t="s">
        <v>22</v>
      </c>
      <c r="V20" s="17">
        <f>V17 - V15</f>
        <v>39</v>
      </c>
    </row>
    <row r="21" spans="2:32" x14ac:dyDescent="0.25">
      <c r="B21" s="7">
        <v>21</v>
      </c>
      <c r="C21" s="7" t="s">
        <v>63</v>
      </c>
      <c r="D21" s="7" t="s">
        <v>97</v>
      </c>
      <c r="F21" s="7" t="s">
        <v>72</v>
      </c>
      <c r="H21" s="14" t="str">
        <f t="shared" si="0"/>
        <v/>
      </c>
      <c r="I21" s="15" t="str">
        <f t="shared" si="1"/>
        <v/>
      </c>
      <c r="K21" s="16" t="str">
        <f t="shared" si="2"/>
        <v/>
      </c>
      <c r="L21" s="17" t="str">
        <f t="shared" si="3"/>
        <v/>
      </c>
      <c r="Q21" s="7" t="s">
        <v>31</v>
      </c>
    </row>
    <row r="22" spans="2:32" x14ac:dyDescent="0.25">
      <c r="B22" s="7">
        <v>22</v>
      </c>
      <c r="C22" s="7" t="s">
        <v>65</v>
      </c>
      <c r="D22" s="7" t="s">
        <v>98</v>
      </c>
      <c r="F22" s="7" t="s">
        <v>72</v>
      </c>
      <c r="H22" s="14" t="str">
        <f t="shared" si="0"/>
        <v/>
      </c>
      <c r="I22" s="15" t="str">
        <f t="shared" si="1"/>
        <v/>
      </c>
      <c r="K22" s="16" t="str">
        <f t="shared" si="2"/>
        <v/>
      </c>
      <c r="L22" s="17" t="str">
        <f t="shared" si="3"/>
        <v/>
      </c>
      <c r="Q22" s="7" t="s">
        <v>31</v>
      </c>
      <c r="U22" s="34" t="s">
        <v>46</v>
      </c>
      <c r="V22" s="17" t="str">
        <f ca="1">IF(V19&gt; 0, "In-time", "Out of time")</f>
        <v>In-time</v>
      </c>
    </row>
    <row r="23" spans="2:32" x14ac:dyDescent="0.25">
      <c r="B23" s="7">
        <v>23</v>
      </c>
      <c r="C23" s="7" t="s">
        <v>65</v>
      </c>
      <c r="D23" s="7" t="s">
        <v>99</v>
      </c>
      <c r="F23" s="7" t="s">
        <v>72</v>
      </c>
      <c r="H23" s="14" t="str">
        <f t="shared" ref="H23:H32" si="4">IF(M23="InProgress",IF(H23="",$V$16,H23),IF(M23="Complete",H23,""))</f>
        <v/>
      </c>
      <c r="I23" s="15" t="str">
        <f t="shared" si="1"/>
        <v/>
      </c>
      <c r="L23" s="17" t="str">
        <f t="shared" si="3"/>
        <v/>
      </c>
      <c r="Q23" s="7" t="s">
        <v>31</v>
      </c>
      <c r="U23" s="34"/>
      <c r="Y23" s="17" t="s">
        <v>51</v>
      </c>
      <c r="Z23" s="17" t="e">
        <f>IF(INDEX(LogTable[Status], 2)="Complete", INDEX(LogTable[Name], 2) &amp; " Finished " &amp; INDEX(LogTable[Structural_name], 2), $Z$23)</f>
        <v>#REF!</v>
      </c>
    </row>
    <row r="24" spans="2:32" x14ac:dyDescent="0.25">
      <c r="B24" s="7">
        <v>24</v>
      </c>
      <c r="C24" s="7" t="s">
        <v>63</v>
      </c>
      <c r="D24" s="7" t="s">
        <v>100</v>
      </c>
      <c r="F24" s="7" t="s">
        <v>72</v>
      </c>
      <c r="H24" s="14" t="str">
        <f t="shared" si="4"/>
        <v/>
      </c>
      <c r="I24" s="15" t="str">
        <f t="shared" si="1"/>
        <v/>
      </c>
      <c r="L24" s="17" t="str">
        <f t="shared" si="3"/>
        <v/>
      </c>
      <c r="Q24" s="7" t="s">
        <v>31</v>
      </c>
      <c r="U24" s="34"/>
      <c r="Y24" s="17" t="s">
        <v>52</v>
      </c>
      <c r="Z24" s="17" t="e">
        <f>IF(INDEX(LogTable[Status], 2)="Inprogress", INDEX(LogTable[Name], 2) &amp; " started " &amp; INDEX(LogTable[Structural_name], 2), $Z$24)</f>
        <v>#REF!</v>
      </c>
    </row>
    <row r="25" spans="2:32" x14ac:dyDescent="0.25">
      <c r="B25" s="7">
        <v>25</v>
      </c>
      <c r="C25" s="7" t="s">
        <v>63</v>
      </c>
      <c r="D25" s="7" t="s">
        <v>101</v>
      </c>
      <c r="F25" s="7" t="s">
        <v>72</v>
      </c>
      <c r="H25" s="14" t="str">
        <f t="shared" si="4"/>
        <v/>
      </c>
      <c r="I25" s="15" t="str">
        <f t="shared" si="1"/>
        <v/>
      </c>
      <c r="L25" s="17" t="str">
        <f t="shared" si="3"/>
        <v/>
      </c>
      <c r="Q25" s="7" t="s">
        <v>31</v>
      </c>
      <c r="Y25" s="17" t="s">
        <v>53</v>
      </c>
      <c r="Z25" s="17" t="e">
        <f>IF(INDEX(LogTable[Comment], 2) &lt;&gt; "Please Add Comment", IF(INDEX(LogTable[Comment], 2) &lt;&gt; "", INDEX(LogTable[Comment], 2), $Z$25), $Z$25)</f>
        <v>#REF!</v>
      </c>
    </row>
    <row r="26" spans="2:32" x14ac:dyDescent="0.25">
      <c r="B26" s="7">
        <v>26</v>
      </c>
      <c r="C26" s="7" t="s">
        <v>63</v>
      </c>
      <c r="D26" s="7" t="s">
        <v>102</v>
      </c>
      <c r="F26" s="7" t="s">
        <v>72</v>
      </c>
      <c r="I26" s="15" t="str">
        <f t="shared" si="1"/>
        <v/>
      </c>
      <c r="L26" s="17" t="str">
        <f t="shared" si="3"/>
        <v/>
      </c>
      <c r="Q26" s="7" t="s">
        <v>31</v>
      </c>
    </row>
    <row r="27" spans="2:32" x14ac:dyDescent="0.25">
      <c r="B27" s="7">
        <v>27</v>
      </c>
      <c r="C27" s="7" t="s">
        <v>63</v>
      </c>
      <c r="D27" s="7" t="s">
        <v>103</v>
      </c>
      <c r="F27" s="7" t="s">
        <v>72</v>
      </c>
      <c r="I27" s="15" t="str">
        <f t="shared" si="1"/>
        <v/>
      </c>
      <c r="L27" s="17" t="str">
        <f t="shared" si="3"/>
        <v/>
      </c>
      <c r="Q27" s="7" t="s">
        <v>31</v>
      </c>
      <c r="T27" s="34"/>
      <c r="U27" s="34" t="s">
        <v>48</v>
      </c>
      <c r="V27" s="34" t="s">
        <v>2</v>
      </c>
      <c r="W27" s="34" t="s">
        <v>49</v>
      </c>
      <c r="X27" s="34" t="s">
        <v>50</v>
      </c>
      <c r="Y27" s="36" t="s">
        <v>16</v>
      </c>
      <c r="Z27" s="34" t="s">
        <v>21</v>
      </c>
      <c r="AA27" s="34" t="s">
        <v>24</v>
      </c>
      <c r="AB27" s="34" t="s">
        <v>35</v>
      </c>
      <c r="AC27" s="34" t="s">
        <v>55</v>
      </c>
      <c r="AD27" s="34" t="s">
        <v>54</v>
      </c>
      <c r="AE27" s="34" t="s">
        <v>56</v>
      </c>
      <c r="AF27" s="34" t="s">
        <v>57</v>
      </c>
    </row>
    <row r="28" spans="2:32" x14ac:dyDescent="0.25">
      <c r="B28" s="7">
        <v>28</v>
      </c>
      <c r="C28" s="7" t="s">
        <v>63</v>
      </c>
      <c r="D28" s="7" t="s">
        <v>104</v>
      </c>
      <c r="F28" s="7" t="s">
        <v>72</v>
      </c>
      <c r="H28" s="14" t="str">
        <f t="shared" si="4"/>
        <v/>
      </c>
      <c r="I28" s="15" t="str">
        <f t="shared" si="1"/>
        <v/>
      </c>
      <c r="L28" s="17" t="str">
        <f t="shared" si="3"/>
        <v/>
      </c>
      <c r="Q28" s="7" t="s">
        <v>31</v>
      </c>
      <c r="U28" s="34"/>
      <c r="V28" s="34"/>
      <c r="W28" s="34"/>
      <c r="X28" s="34"/>
      <c r="Y28" s="36"/>
      <c r="Z28" s="34"/>
      <c r="AA28" s="34"/>
      <c r="AB28" s="34"/>
      <c r="AC28" s="34"/>
      <c r="AD28" s="34"/>
      <c r="AE28" s="37"/>
      <c r="AF28" s="34"/>
    </row>
    <row r="29" spans="2:32" x14ac:dyDescent="0.25">
      <c r="B29" s="7">
        <v>29</v>
      </c>
      <c r="C29" s="7" t="s">
        <v>63</v>
      </c>
      <c r="D29" s="7" t="s">
        <v>105</v>
      </c>
      <c r="F29" s="7" t="s">
        <v>71</v>
      </c>
      <c r="H29" s="14" t="str">
        <f t="shared" si="4"/>
        <v/>
      </c>
      <c r="I29" s="15" t="str">
        <f t="shared" si="1"/>
        <v/>
      </c>
      <c r="L29" s="17" t="str">
        <f t="shared" si="3"/>
        <v/>
      </c>
      <c r="Q29" s="7" t="s">
        <v>31</v>
      </c>
      <c r="U29" s="17" t="s">
        <v>9</v>
      </c>
      <c r="AA29" s="17">
        <f>SUBTOTAL(109,LogTable[Time_Taken])</f>
        <v>0</v>
      </c>
      <c r="AB29" s="17">
        <f>SUBTOTAL(109,LogTable[Alloted_Time])</f>
        <v>0</v>
      </c>
    </row>
    <row r="30" spans="2:32" x14ac:dyDescent="0.25">
      <c r="B30" s="7">
        <v>30</v>
      </c>
      <c r="C30" s="7" t="s">
        <v>63</v>
      </c>
      <c r="D30" s="7" t="s">
        <v>106</v>
      </c>
      <c r="F30" s="7" t="s">
        <v>71</v>
      </c>
      <c r="H30" s="14" t="str">
        <f t="shared" si="4"/>
        <v/>
      </c>
      <c r="I30" s="15" t="str">
        <f t="shared" si="1"/>
        <v/>
      </c>
      <c r="L30" s="17" t="str">
        <f t="shared" si="3"/>
        <v/>
      </c>
      <c r="Q30" s="7" t="s">
        <v>31</v>
      </c>
    </row>
    <row r="31" spans="2:32" x14ac:dyDescent="0.25">
      <c r="B31" s="7">
        <v>31</v>
      </c>
      <c r="C31" s="7" t="s">
        <v>63</v>
      </c>
      <c r="D31" s="7" t="s">
        <v>107</v>
      </c>
      <c r="F31" s="7" t="s">
        <v>71</v>
      </c>
      <c r="H31" s="14" t="str">
        <f t="shared" si="4"/>
        <v/>
      </c>
      <c r="I31" s="15" t="str">
        <f t="shared" si="1"/>
        <v/>
      </c>
      <c r="L31" s="17" t="str">
        <f t="shared" si="3"/>
        <v/>
      </c>
      <c r="Q31" s="7" t="s">
        <v>31</v>
      </c>
      <c r="U31" s="34"/>
      <c r="V31" s="34"/>
      <c r="W31" s="34"/>
    </row>
    <row r="32" spans="2:32" x14ac:dyDescent="0.25">
      <c r="B32" s="7">
        <v>32</v>
      </c>
      <c r="C32" s="7" t="s">
        <v>63</v>
      </c>
      <c r="D32" s="7" t="s">
        <v>108</v>
      </c>
      <c r="F32" s="7" t="s">
        <v>71</v>
      </c>
      <c r="H32" s="14" t="str">
        <f t="shared" si="4"/>
        <v/>
      </c>
      <c r="I32" s="15" t="str">
        <f t="shared" si="1"/>
        <v/>
      </c>
      <c r="L32" s="17" t="str">
        <f t="shared" ref="L32:L56" si="5">IFERROR(IF(WEEKDAY(I32,2)&gt;5,"",IF(INT(H32)=INT(I32),(MOD(I32,1)*24)-(MOD(H32,1)*24),(NETWORKDAYS.INTL(H32,I32,1,$R$2:$R$6)*8)-IF(MOD(H32,1)*24&lt;8,0,IF(MOD(H32,1)*24&gt;16,0,MOD(H32,1)*24 - 8)-IF(MOD(I32,1)*24&gt;16,0,IF(MOD(I32,1)*24&lt;8,0,16-MOD(I32,1)*24))))),"")</f>
        <v/>
      </c>
      <c r="Q32" s="7" t="s">
        <v>31</v>
      </c>
    </row>
    <row r="33" spans="2:17" x14ac:dyDescent="0.25">
      <c r="B33" s="7">
        <v>33</v>
      </c>
      <c r="C33" s="7" t="s">
        <v>63</v>
      </c>
      <c r="D33" s="7" t="s">
        <v>109</v>
      </c>
      <c r="F33" s="7" t="s">
        <v>71</v>
      </c>
      <c r="H33" s="14" t="str">
        <f t="shared" ref="H33:H56" si="6">IF(M33="InProgress",IF(H33="",$V$16,H33),IF(M33="Complete",H33,""))</f>
        <v/>
      </c>
      <c r="I33" s="15" t="str">
        <f t="shared" si="1"/>
        <v/>
      </c>
      <c r="L33" s="17" t="str">
        <f t="shared" si="5"/>
        <v/>
      </c>
      <c r="Q33" s="7" t="s">
        <v>31</v>
      </c>
    </row>
    <row r="34" spans="2:17" x14ac:dyDescent="0.25">
      <c r="B34" s="7">
        <v>34</v>
      </c>
      <c r="C34" s="7" t="s">
        <v>63</v>
      </c>
      <c r="D34" s="7" t="s">
        <v>110</v>
      </c>
      <c r="F34" s="7" t="s">
        <v>71</v>
      </c>
      <c r="H34" s="14" t="str">
        <f t="shared" si="6"/>
        <v/>
      </c>
      <c r="I34" s="15" t="str">
        <f t="shared" si="1"/>
        <v/>
      </c>
      <c r="L34" s="17" t="str">
        <f t="shared" si="5"/>
        <v/>
      </c>
      <c r="Q34" s="7" t="s">
        <v>31</v>
      </c>
    </row>
    <row r="35" spans="2:17" x14ac:dyDescent="0.25">
      <c r="B35" s="7">
        <v>35</v>
      </c>
      <c r="C35" s="7" t="s">
        <v>63</v>
      </c>
      <c r="D35" s="7" t="s">
        <v>111</v>
      </c>
      <c r="F35" s="7" t="s">
        <v>71</v>
      </c>
      <c r="H35" s="14" t="str">
        <f t="shared" si="6"/>
        <v/>
      </c>
      <c r="I35" s="15" t="str">
        <f t="shared" si="1"/>
        <v/>
      </c>
      <c r="L35" s="17" t="str">
        <f t="shared" si="5"/>
        <v/>
      </c>
      <c r="Q35" s="7" t="s">
        <v>31</v>
      </c>
    </row>
    <row r="36" spans="2:17" x14ac:dyDescent="0.25">
      <c r="B36" s="7">
        <v>36</v>
      </c>
      <c r="D36" s="7" t="s">
        <v>112</v>
      </c>
      <c r="H36" s="14" t="str">
        <f t="shared" si="6"/>
        <v/>
      </c>
      <c r="I36" s="15" t="str">
        <f t="shared" si="1"/>
        <v/>
      </c>
      <c r="L36" s="17" t="str">
        <f t="shared" si="5"/>
        <v/>
      </c>
      <c r="Q36" s="7" t="s">
        <v>31</v>
      </c>
    </row>
    <row r="37" spans="2:17" x14ac:dyDescent="0.25">
      <c r="B37" s="7">
        <v>37</v>
      </c>
      <c r="C37" s="7" t="s">
        <v>63</v>
      </c>
      <c r="D37" s="7" t="s">
        <v>78</v>
      </c>
      <c r="F37" s="7" t="s">
        <v>71</v>
      </c>
      <c r="H37" s="14" t="str">
        <f t="shared" si="6"/>
        <v/>
      </c>
      <c r="I37" s="15" t="str">
        <f t="shared" si="1"/>
        <v/>
      </c>
      <c r="L37" s="17" t="str">
        <f t="shared" si="5"/>
        <v/>
      </c>
      <c r="Q37" s="7" t="s">
        <v>31</v>
      </c>
    </row>
    <row r="38" spans="2:17" x14ac:dyDescent="0.25">
      <c r="B38" s="7">
        <v>38</v>
      </c>
      <c r="C38" s="7" t="s">
        <v>63</v>
      </c>
      <c r="D38" s="7" t="s">
        <v>85</v>
      </c>
      <c r="F38" s="7" t="s">
        <v>71</v>
      </c>
      <c r="H38" s="14" t="str">
        <f t="shared" si="6"/>
        <v/>
      </c>
      <c r="I38" s="15" t="str">
        <f t="shared" si="1"/>
        <v/>
      </c>
      <c r="L38" s="17" t="str">
        <f t="shared" si="5"/>
        <v/>
      </c>
      <c r="Q38" s="7" t="s">
        <v>31</v>
      </c>
    </row>
    <row r="39" spans="2:17" x14ac:dyDescent="0.25">
      <c r="B39" s="7">
        <v>39</v>
      </c>
      <c r="C39" s="7" t="s">
        <v>63</v>
      </c>
      <c r="D39" s="7" t="s">
        <v>89</v>
      </c>
      <c r="F39" s="7" t="s">
        <v>71</v>
      </c>
      <c r="H39" s="14" t="str">
        <f t="shared" si="6"/>
        <v/>
      </c>
      <c r="I39" s="15" t="str">
        <f t="shared" si="1"/>
        <v/>
      </c>
      <c r="L39" s="17" t="str">
        <f t="shared" si="5"/>
        <v/>
      </c>
      <c r="Q39" s="7" t="s">
        <v>31</v>
      </c>
    </row>
    <row r="40" spans="2:17" x14ac:dyDescent="0.25">
      <c r="B40" s="7">
        <v>40</v>
      </c>
      <c r="C40" s="7" t="s">
        <v>63</v>
      </c>
      <c r="D40" s="7" t="s">
        <v>94</v>
      </c>
      <c r="F40" s="7" t="s">
        <v>71</v>
      </c>
      <c r="H40" s="14" t="str">
        <f t="shared" si="6"/>
        <v/>
      </c>
      <c r="I40" s="15" t="str">
        <f t="shared" si="1"/>
        <v/>
      </c>
      <c r="L40" s="17" t="str">
        <f t="shared" si="5"/>
        <v/>
      </c>
      <c r="Q40" s="7" t="s">
        <v>31</v>
      </c>
    </row>
    <row r="41" spans="2:17" x14ac:dyDescent="0.25">
      <c r="B41" s="7">
        <v>41</v>
      </c>
      <c r="C41" s="7" t="s">
        <v>63</v>
      </c>
      <c r="D41" s="7" t="s">
        <v>113</v>
      </c>
      <c r="F41" s="7" t="s">
        <v>71</v>
      </c>
      <c r="H41" s="14" t="str">
        <f t="shared" si="6"/>
        <v/>
      </c>
      <c r="I41" s="15" t="str">
        <f t="shared" si="1"/>
        <v/>
      </c>
      <c r="L41" s="17" t="str">
        <f t="shared" si="5"/>
        <v/>
      </c>
      <c r="Q41" s="7" t="s">
        <v>31</v>
      </c>
    </row>
    <row r="42" spans="2:17" x14ac:dyDescent="0.25">
      <c r="B42" s="7">
        <v>42</v>
      </c>
      <c r="C42" s="7" t="s">
        <v>63</v>
      </c>
      <c r="D42" s="7" t="s">
        <v>114</v>
      </c>
      <c r="F42" s="7" t="s">
        <v>71</v>
      </c>
      <c r="H42" s="14" t="str">
        <f t="shared" si="6"/>
        <v/>
      </c>
      <c r="I42" s="15" t="str">
        <f t="shared" si="1"/>
        <v/>
      </c>
      <c r="L42" s="17" t="str">
        <f t="shared" si="5"/>
        <v/>
      </c>
      <c r="Q42" s="7" t="s">
        <v>31</v>
      </c>
    </row>
    <row r="43" spans="2:17" x14ac:dyDescent="0.25">
      <c r="B43" s="7">
        <v>43</v>
      </c>
      <c r="C43" s="7" t="s">
        <v>63</v>
      </c>
      <c r="D43" s="7" t="s">
        <v>115</v>
      </c>
      <c r="F43" s="7" t="s">
        <v>71</v>
      </c>
      <c r="H43" s="14" t="str">
        <f t="shared" si="6"/>
        <v/>
      </c>
      <c r="I43" s="15" t="str">
        <f t="shared" si="1"/>
        <v/>
      </c>
      <c r="L43" s="17" t="str">
        <f t="shared" si="5"/>
        <v/>
      </c>
      <c r="Q43" s="7" t="s">
        <v>31</v>
      </c>
    </row>
    <row r="44" spans="2:17" x14ac:dyDescent="0.25">
      <c r="B44" s="7">
        <v>44</v>
      </c>
      <c r="C44" s="7" t="s">
        <v>63</v>
      </c>
      <c r="D44" s="7" t="s">
        <v>116</v>
      </c>
      <c r="F44" s="7" t="s">
        <v>71</v>
      </c>
      <c r="H44" s="14" t="str">
        <f t="shared" si="6"/>
        <v/>
      </c>
      <c r="I44" s="15" t="str">
        <f t="shared" si="1"/>
        <v/>
      </c>
      <c r="L44" s="17" t="str">
        <f t="shared" si="5"/>
        <v/>
      </c>
      <c r="Q44" s="7" t="s">
        <v>31</v>
      </c>
    </row>
    <row r="45" spans="2:17" x14ac:dyDescent="0.25">
      <c r="B45" s="7">
        <v>45</v>
      </c>
      <c r="C45" s="7" t="s">
        <v>63</v>
      </c>
      <c r="D45" s="7" t="s">
        <v>117</v>
      </c>
      <c r="F45" s="7" t="s">
        <v>71</v>
      </c>
      <c r="H45" s="14" t="str">
        <f t="shared" si="6"/>
        <v/>
      </c>
      <c r="I45" s="15" t="str">
        <f t="shared" si="1"/>
        <v/>
      </c>
      <c r="L45" s="17" t="str">
        <f t="shared" si="5"/>
        <v/>
      </c>
      <c r="Q45" s="7" t="s">
        <v>31</v>
      </c>
    </row>
    <row r="46" spans="2:17" x14ac:dyDescent="0.25">
      <c r="B46" s="7">
        <v>46</v>
      </c>
      <c r="C46" s="7" t="s">
        <v>63</v>
      </c>
      <c r="D46" s="7" t="s">
        <v>118</v>
      </c>
      <c r="F46" s="7" t="s">
        <v>71</v>
      </c>
      <c r="H46" s="14" t="str">
        <f t="shared" si="6"/>
        <v/>
      </c>
      <c r="I46" s="15" t="str">
        <f t="shared" si="1"/>
        <v/>
      </c>
      <c r="L46" s="17" t="str">
        <f t="shared" si="5"/>
        <v/>
      </c>
      <c r="Q46" s="7" t="s">
        <v>31</v>
      </c>
    </row>
    <row r="47" spans="2:17" x14ac:dyDescent="0.25">
      <c r="B47" s="7">
        <v>47</v>
      </c>
      <c r="C47" s="7" t="s">
        <v>63</v>
      </c>
      <c r="D47" s="7" t="s">
        <v>119</v>
      </c>
      <c r="F47" s="7" t="s">
        <v>71</v>
      </c>
      <c r="H47" s="14" t="str">
        <f t="shared" si="6"/>
        <v/>
      </c>
      <c r="L47" s="17" t="str">
        <f t="shared" si="5"/>
        <v/>
      </c>
      <c r="Q47" s="7" t="s">
        <v>31</v>
      </c>
    </row>
    <row r="48" spans="2:17" x14ac:dyDescent="0.25">
      <c r="B48" s="7">
        <v>48</v>
      </c>
      <c r="C48" s="7" t="s">
        <v>63</v>
      </c>
      <c r="D48" s="7" t="s">
        <v>120</v>
      </c>
      <c r="F48" s="7" t="s">
        <v>71</v>
      </c>
      <c r="H48" s="14" t="str">
        <f t="shared" si="6"/>
        <v/>
      </c>
      <c r="L48" s="17" t="str">
        <f t="shared" si="5"/>
        <v/>
      </c>
      <c r="Q48" s="7" t="s">
        <v>31</v>
      </c>
    </row>
    <row r="49" spans="2:17" x14ac:dyDescent="0.25">
      <c r="B49" s="7">
        <v>49</v>
      </c>
      <c r="C49" s="7" t="s">
        <v>63</v>
      </c>
      <c r="D49" s="7" t="s">
        <v>121</v>
      </c>
      <c r="F49" s="7" t="s">
        <v>71</v>
      </c>
      <c r="H49" s="14" t="str">
        <f t="shared" si="6"/>
        <v/>
      </c>
      <c r="L49" s="17" t="str">
        <f t="shared" si="5"/>
        <v/>
      </c>
      <c r="Q49" s="7" t="s">
        <v>31</v>
      </c>
    </row>
    <row r="50" spans="2:17" x14ac:dyDescent="0.25">
      <c r="B50" s="7">
        <v>51</v>
      </c>
      <c r="C50" s="7" t="s">
        <v>63</v>
      </c>
      <c r="D50" s="7" t="s">
        <v>122</v>
      </c>
      <c r="F50" s="7" t="s">
        <v>71</v>
      </c>
      <c r="H50" s="14" t="str">
        <f t="shared" si="6"/>
        <v/>
      </c>
      <c r="L50" s="17" t="str">
        <f t="shared" si="5"/>
        <v/>
      </c>
      <c r="Q50" s="7" t="s">
        <v>31</v>
      </c>
    </row>
    <row r="51" spans="2:17" x14ac:dyDescent="0.25">
      <c r="B51" s="7">
        <v>52</v>
      </c>
      <c r="C51" s="7" t="s">
        <v>63</v>
      </c>
      <c r="D51" s="7" t="s">
        <v>119</v>
      </c>
      <c r="F51" s="7" t="s">
        <v>71</v>
      </c>
      <c r="H51" s="14" t="str">
        <f t="shared" si="6"/>
        <v/>
      </c>
      <c r="L51" s="17" t="str">
        <f t="shared" si="5"/>
        <v/>
      </c>
      <c r="Q51" s="7" t="s">
        <v>31</v>
      </c>
    </row>
    <row r="52" spans="2:17" x14ac:dyDescent="0.25">
      <c r="B52" s="7">
        <v>53</v>
      </c>
      <c r="C52" s="7" t="s">
        <v>63</v>
      </c>
      <c r="D52" s="7" t="s">
        <v>123</v>
      </c>
      <c r="F52" s="7" t="s">
        <v>71</v>
      </c>
      <c r="H52" s="14" t="str">
        <f t="shared" si="6"/>
        <v/>
      </c>
      <c r="L52" s="17" t="str">
        <f t="shared" si="5"/>
        <v/>
      </c>
      <c r="Q52" s="7" t="s">
        <v>31</v>
      </c>
    </row>
    <row r="53" spans="2:17" x14ac:dyDescent="0.25">
      <c r="B53" s="7">
        <v>54</v>
      </c>
      <c r="C53" s="7" t="s">
        <v>63</v>
      </c>
      <c r="D53" s="7" t="s">
        <v>117</v>
      </c>
      <c r="F53" s="7" t="s">
        <v>71</v>
      </c>
      <c r="H53" s="14" t="str">
        <f t="shared" si="6"/>
        <v/>
      </c>
      <c r="L53" s="17" t="str">
        <f t="shared" si="5"/>
        <v/>
      </c>
      <c r="Q53" s="7" t="s">
        <v>31</v>
      </c>
    </row>
    <row r="54" spans="2:17" x14ac:dyDescent="0.25">
      <c r="B54" s="7">
        <v>55</v>
      </c>
      <c r="C54" s="7" t="s">
        <v>63</v>
      </c>
      <c r="D54" s="7" t="s">
        <v>117</v>
      </c>
      <c r="F54" s="7" t="s">
        <v>71</v>
      </c>
      <c r="H54" s="14" t="str">
        <f t="shared" si="6"/>
        <v/>
      </c>
      <c r="L54" s="17" t="str">
        <f t="shared" si="5"/>
        <v/>
      </c>
      <c r="Q54" s="7" t="s">
        <v>31</v>
      </c>
    </row>
    <row r="55" spans="2:17" x14ac:dyDescent="0.25">
      <c r="B55" s="7">
        <v>56</v>
      </c>
      <c r="C55" s="7" t="s">
        <v>63</v>
      </c>
      <c r="D55" s="7" t="s">
        <v>124</v>
      </c>
      <c r="F55" s="7" t="s">
        <v>71</v>
      </c>
      <c r="H55" s="14" t="str">
        <f t="shared" si="6"/>
        <v/>
      </c>
      <c r="L55" s="17" t="str">
        <f t="shared" si="5"/>
        <v/>
      </c>
      <c r="Q55" s="7" t="s">
        <v>31</v>
      </c>
    </row>
    <row r="56" spans="2:17" x14ac:dyDescent="0.25">
      <c r="B56" s="7">
        <v>57</v>
      </c>
      <c r="C56" s="7" t="s">
        <v>63</v>
      </c>
      <c r="D56" s="7" t="s">
        <v>125</v>
      </c>
      <c r="F56" s="7" t="s">
        <v>71</v>
      </c>
      <c r="H56" s="14" t="str">
        <f t="shared" si="6"/>
        <v/>
      </c>
      <c r="L56" s="17" t="str">
        <f t="shared" si="5"/>
        <v/>
      </c>
      <c r="Q56" s="7" t="s">
        <v>31</v>
      </c>
    </row>
    <row r="57" spans="2:17" x14ac:dyDescent="0.25">
      <c r="B57" s="7">
        <v>58</v>
      </c>
      <c r="C57" s="7" t="s">
        <v>63</v>
      </c>
      <c r="D57" s="7" t="s">
        <v>119</v>
      </c>
      <c r="F57" s="7" t="s">
        <v>71</v>
      </c>
      <c r="Q57" s="7" t="s">
        <v>31</v>
      </c>
    </row>
    <row r="58" spans="2:17" x14ac:dyDescent="0.25">
      <c r="B58" s="7">
        <v>59</v>
      </c>
      <c r="C58" s="7" t="s">
        <v>63</v>
      </c>
      <c r="D58" s="7" t="s">
        <v>108</v>
      </c>
      <c r="F58" s="7" t="s">
        <v>71</v>
      </c>
      <c r="Q58" s="7" t="s">
        <v>31</v>
      </c>
    </row>
    <row r="59" spans="2:17" x14ac:dyDescent="0.25">
      <c r="B59" s="7">
        <v>60</v>
      </c>
      <c r="D59" s="7" t="s">
        <v>126</v>
      </c>
      <c r="Q59" s="7" t="s">
        <v>31</v>
      </c>
    </row>
    <row r="60" spans="2:17" x14ac:dyDescent="0.25">
      <c r="B60" s="7">
        <v>61</v>
      </c>
      <c r="C60" s="7" t="s">
        <v>63</v>
      </c>
      <c r="D60" s="7" t="s">
        <v>78</v>
      </c>
      <c r="F60" s="7" t="s">
        <v>73</v>
      </c>
      <c r="Q60" s="7" t="s">
        <v>31</v>
      </c>
    </row>
    <row r="61" spans="2:17" x14ac:dyDescent="0.25">
      <c r="B61" s="7">
        <v>62</v>
      </c>
      <c r="C61" s="7" t="s">
        <v>63</v>
      </c>
      <c r="D61" s="7" t="s">
        <v>85</v>
      </c>
      <c r="F61" s="7" t="s">
        <v>73</v>
      </c>
      <c r="Q61" s="7" t="s">
        <v>31</v>
      </c>
    </row>
    <row r="62" spans="2:17" x14ac:dyDescent="0.25">
      <c r="B62" s="7">
        <v>63</v>
      </c>
      <c r="C62" s="7" t="s">
        <v>63</v>
      </c>
      <c r="D62" s="7" t="s">
        <v>89</v>
      </c>
      <c r="F62" s="7" t="s">
        <v>73</v>
      </c>
      <c r="Q62" s="7" t="s">
        <v>31</v>
      </c>
    </row>
    <row r="63" spans="2:17" x14ac:dyDescent="0.25">
      <c r="B63" s="7">
        <v>64</v>
      </c>
      <c r="C63" s="7" t="s">
        <v>63</v>
      </c>
      <c r="D63" s="7" t="s">
        <v>94</v>
      </c>
      <c r="F63" s="7" t="s">
        <v>73</v>
      </c>
      <c r="Q63" s="7" t="s">
        <v>31</v>
      </c>
    </row>
    <row r="64" spans="2:17" x14ac:dyDescent="0.25">
      <c r="B64" s="7">
        <v>65</v>
      </c>
      <c r="C64" s="7" t="s">
        <v>63</v>
      </c>
      <c r="D64" s="7" t="s">
        <v>127</v>
      </c>
      <c r="F64" s="7" t="s">
        <v>73</v>
      </c>
      <c r="Q64" s="7" t="s">
        <v>31</v>
      </c>
    </row>
    <row r="65" spans="2:17" x14ac:dyDescent="0.25">
      <c r="B65" s="7">
        <v>66</v>
      </c>
      <c r="C65" s="7" t="s">
        <v>63</v>
      </c>
      <c r="D65" s="7" t="s">
        <v>128</v>
      </c>
      <c r="F65" s="7" t="s">
        <v>73</v>
      </c>
      <c r="Q65" s="7" t="s">
        <v>31</v>
      </c>
    </row>
    <row r="66" spans="2:17" x14ac:dyDescent="0.25">
      <c r="B66" s="7">
        <v>67</v>
      </c>
      <c r="C66" s="7" t="s">
        <v>63</v>
      </c>
      <c r="D66" s="7" t="s">
        <v>129</v>
      </c>
      <c r="F66" s="7" t="s">
        <v>73</v>
      </c>
      <c r="Q66" s="7" t="s">
        <v>31</v>
      </c>
    </row>
    <row r="67" spans="2:17" x14ac:dyDescent="0.25">
      <c r="B67" s="7">
        <v>68</v>
      </c>
      <c r="C67" s="7" t="s">
        <v>63</v>
      </c>
      <c r="D67" s="7" t="s">
        <v>101</v>
      </c>
      <c r="F67" s="7" t="s">
        <v>73</v>
      </c>
      <c r="Q67" s="7" t="s">
        <v>31</v>
      </c>
    </row>
    <row r="68" spans="2:17" x14ac:dyDescent="0.25">
      <c r="B68" s="7">
        <v>69</v>
      </c>
      <c r="C68" s="7" t="s">
        <v>63</v>
      </c>
      <c r="D68" s="7" t="s">
        <v>130</v>
      </c>
      <c r="F68" s="7" t="s">
        <v>73</v>
      </c>
      <c r="Q68" s="7" t="s">
        <v>31</v>
      </c>
    </row>
    <row r="69" spans="2:17" x14ac:dyDescent="0.25">
      <c r="B69" s="7">
        <v>70</v>
      </c>
      <c r="C69" s="7" t="s">
        <v>63</v>
      </c>
      <c r="D69" s="7" t="s">
        <v>110</v>
      </c>
      <c r="F69" s="7" t="s">
        <v>73</v>
      </c>
      <c r="Q69" s="7" t="s">
        <v>31</v>
      </c>
    </row>
    <row r="70" spans="2:17" x14ac:dyDescent="0.25">
      <c r="B70" s="7">
        <v>71</v>
      </c>
      <c r="C70" s="7" t="s">
        <v>63</v>
      </c>
      <c r="D70" s="7" t="s">
        <v>111</v>
      </c>
      <c r="F70" s="7" t="s">
        <v>73</v>
      </c>
      <c r="Q70" s="7" t="s">
        <v>31</v>
      </c>
    </row>
    <row r="71" spans="2:17" x14ac:dyDescent="0.25">
      <c r="B71" s="7">
        <v>72</v>
      </c>
      <c r="C71" s="7" t="s">
        <v>63</v>
      </c>
      <c r="D71" s="7" t="s">
        <v>131</v>
      </c>
      <c r="F71" s="7" t="s">
        <v>73</v>
      </c>
      <c r="Q71" s="7" t="s">
        <v>31</v>
      </c>
    </row>
    <row r="72" spans="2:17" x14ac:dyDescent="0.25">
      <c r="B72" s="7">
        <v>73</v>
      </c>
      <c r="C72" s="7" t="s">
        <v>63</v>
      </c>
      <c r="D72" s="7" t="s">
        <v>132</v>
      </c>
      <c r="F72" s="7" t="s">
        <v>73</v>
      </c>
      <c r="Q72" s="7" t="s">
        <v>31</v>
      </c>
    </row>
    <row r="73" spans="2:17" x14ac:dyDescent="0.25">
      <c r="B73" s="7">
        <v>74</v>
      </c>
      <c r="C73" s="7" t="s">
        <v>63</v>
      </c>
      <c r="D73" s="7" t="s">
        <v>133</v>
      </c>
      <c r="F73" s="7" t="s">
        <v>73</v>
      </c>
    </row>
    <row r="74" spans="2:17" x14ac:dyDescent="0.25">
      <c r="B74" s="7">
        <v>75</v>
      </c>
      <c r="C74" s="7" t="s">
        <v>63</v>
      </c>
      <c r="D74" s="7" t="s">
        <v>134</v>
      </c>
      <c r="F74" s="7" t="s">
        <v>73</v>
      </c>
    </row>
    <row r="75" spans="2:17" x14ac:dyDescent="0.25">
      <c r="B75" s="7">
        <v>76</v>
      </c>
      <c r="C75" s="7" t="s">
        <v>63</v>
      </c>
      <c r="D75" s="7" t="s">
        <v>135</v>
      </c>
      <c r="F75" s="7" t="s">
        <v>73</v>
      </c>
    </row>
    <row r="76" spans="2:17" x14ac:dyDescent="0.25">
      <c r="B76" s="7">
        <v>77</v>
      </c>
      <c r="C76" s="7" t="s">
        <v>63</v>
      </c>
      <c r="D76" s="7" t="s">
        <v>136</v>
      </c>
      <c r="F76" s="7" t="s">
        <v>73</v>
      </c>
    </row>
    <row r="77" spans="2:17" x14ac:dyDescent="0.25">
      <c r="B77" s="7">
        <v>78</v>
      </c>
      <c r="D77" s="7" t="s">
        <v>137</v>
      </c>
    </row>
    <row r="78" spans="2:17" x14ac:dyDescent="0.25">
      <c r="B78" s="7">
        <v>79</v>
      </c>
      <c r="C78" s="7" t="s">
        <v>63</v>
      </c>
      <c r="D78" s="7" t="s">
        <v>78</v>
      </c>
      <c r="F78" s="7" t="s">
        <v>73</v>
      </c>
    </row>
    <row r="79" spans="2:17" x14ac:dyDescent="0.25">
      <c r="B79" s="7">
        <v>80</v>
      </c>
      <c r="C79" s="7" t="s">
        <v>63</v>
      </c>
      <c r="D79" s="7" t="s">
        <v>85</v>
      </c>
      <c r="F79" s="7" t="s">
        <v>73</v>
      </c>
    </row>
    <row r="80" spans="2:17" x14ac:dyDescent="0.25">
      <c r="B80" s="7">
        <v>81</v>
      </c>
      <c r="C80" s="7" t="s">
        <v>63</v>
      </c>
      <c r="D80" s="7" t="s">
        <v>89</v>
      </c>
      <c r="F80" s="7" t="s">
        <v>73</v>
      </c>
    </row>
    <row r="81" spans="2:6" x14ac:dyDescent="0.25">
      <c r="B81" s="7">
        <v>82</v>
      </c>
      <c r="C81" s="7" t="s">
        <v>63</v>
      </c>
      <c r="D81" s="7" t="s">
        <v>94</v>
      </c>
      <c r="F81" s="7" t="s">
        <v>73</v>
      </c>
    </row>
    <row r="82" spans="2:6" x14ac:dyDescent="0.25">
      <c r="B82" s="7">
        <v>83</v>
      </c>
      <c r="C82" s="7" t="s">
        <v>63</v>
      </c>
      <c r="D82" s="7" t="s">
        <v>107</v>
      </c>
      <c r="F82" s="7" t="s">
        <v>73</v>
      </c>
    </row>
    <row r="83" spans="2:6" x14ac:dyDescent="0.25">
      <c r="B83" s="7">
        <v>84</v>
      </c>
      <c r="C83" s="7" t="s">
        <v>63</v>
      </c>
      <c r="D83" s="7" t="s">
        <v>106</v>
      </c>
      <c r="F83" s="7" t="s">
        <v>73</v>
      </c>
    </row>
    <row r="84" spans="2:6" x14ac:dyDescent="0.25">
      <c r="B84" s="7">
        <v>85</v>
      </c>
      <c r="C84" s="7" t="s">
        <v>63</v>
      </c>
      <c r="D84" s="7" t="s">
        <v>138</v>
      </c>
      <c r="F84" s="7" t="s">
        <v>73</v>
      </c>
    </row>
    <row r="85" spans="2:6" x14ac:dyDescent="0.25">
      <c r="B85" s="7">
        <v>86</v>
      </c>
      <c r="C85" s="7" t="s">
        <v>63</v>
      </c>
      <c r="D85" s="7" t="s">
        <v>139</v>
      </c>
      <c r="F85" s="7" t="s">
        <v>73</v>
      </c>
    </row>
    <row r="86" spans="2:6" x14ac:dyDescent="0.25">
      <c r="B86" s="7">
        <v>87</v>
      </c>
      <c r="C86" s="7" t="s">
        <v>63</v>
      </c>
      <c r="D86" s="7" t="s">
        <v>140</v>
      </c>
      <c r="F86" s="7" t="s">
        <v>73</v>
      </c>
    </row>
    <row r="87" spans="2:6" x14ac:dyDescent="0.25">
      <c r="B87" s="7">
        <v>88</v>
      </c>
      <c r="C87" s="7" t="s">
        <v>63</v>
      </c>
      <c r="D87" s="7" t="s">
        <v>120</v>
      </c>
      <c r="F87" s="7" t="s">
        <v>73</v>
      </c>
    </row>
    <row r="88" spans="2:6" x14ac:dyDescent="0.25">
      <c r="B88" s="7">
        <v>89</v>
      </c>
      <c r="C88" s="7" t="s">
        <v>63</v>
      </c>
      <c r="D88" s="7" t="s">
        <v>141</v>
      </c>
      <c r="F88" s="7" t="s">
        <v>73</v>
      </c>
    </row>
    <row r="89" spans="2:6" x14ac:dyDescent="0.25">
      <c r="B89" s="7">
        <v>90</v>
      </c>
      <c r="C89" s="7" t="s">
        <v>63</v>
      </c>
      <c r="D89" s="7" t="s">
        <v>142</v>
      </c>
      <c r="F89" s="7" t="s">
        <v>73</v>
      </c>
    </row>
    <row r="90" spans="2:6" x14ac:dyDescent="0.25">
      <c r="B90" s="7">
        <v>91</v>
      </c>
      <c r="C90" s="7" t="s">
        <v>63</v>
      </c>
      <c r="D90" s="7" t="s">
        <v>143</v>
      </c>
      <c r="F90" s="7" t="s">
        <v>73</v>
      </c>
    </row>
    <row r="91" spans="2:6" x14ac:dyDescent="0.25">
      <c r="B91" s="7">
        <v>92</v>
      </c>
      <c r="C91" s="7" t="s">
        <v>63</v>
      </c>
      <c r="D91" s="7" t="s">
        <v>144</v>
      </c>
      <c r="F91" s="7" t="s">
        <v>73</v>
      </c>
    </row>
    <row r="92" spans="2:6" x14ac:dyDescent="0.25">
      <c r="B92" s="7">
        <v>93</v>
      </c>
      <c r="C92" s="7" t="s">
        <v>63</v>
      </c>
      <c r="D92" s="7" t="s">
        <v>122</v>
      </c>
      <c r="F92" s="7" t="s">
        <v>73</v>
      </c>
    </row>
    <row r="93" spans="2:6" x14ac:dyDescent="0.25">
      <c r="B93" s="7">
        <v>94</v>
      </c>
      <c r="C93" s="7" t="s">
        <v>63</v>
      </c>
      <c r="D93" s="7" t="s">
        <v>145</v>
      </c>
      <c r="F93" s="7" t="s">
        <v>73</v>
      </c>
    </row>
    <row r="94" spans="2:6" x14ac:dyDescent="0.25">
      <c r="B94" s="7">
        <v>95</v>
      </c>
      <c r="C94" s="7" t="s">
        <v>63</v>
      </c>
      <c r="D94" s="7" t="s">
        <v>146</v>
      </c>
      <c r="F94" s="7" t="s">
        <v>73</v>
      </c>
    </row>
    <row r="95" spans="2:6" x14ac:dyDescent="0.25">
      <c r="B95" s="7">
        <v>96</v>
      </c>
      <c r="C95" s="7" t="s">
        <v>63</v>
      </c>
      <c r="D95" s="7" t="s">
        <v>147</v>
      </c>
      <c r="F95" s="7" t="s">
        <v>73</v>
      </c>
    </row>
    <row r="96" spans="2:6" x14ac:dyDescent="0.25">
      <c r="B96" s="7">
        <v>97</v>
      </c>
      <c r="C96" s="7" t="s">
        <v>63</v>
      </c>
      <c r="D96" s="7" t="s">
        <v>148</v>
      </c>
      <c r="F96" s="7" t="s">
        <v>73</v>
      </c>
    </row>
    <row r="97" spans="2:6" x14ac:dyDescent="0.25">
      <c r="B97" s="7">
        <v>98</v>
      </c>
      <c r="C97" s="7" t="s">
        <v>63</v>
      </c>
      <c r="D97" s="7" t="s">
        <v>149</v>
      </c>
      <c r="F97" s="7" t="s">
        <v>73</v>
      </c>
    </row>
    <row r="98" spans="2:6" x14ac:dyDescent="0.25">
      <c r="B98" s="7">
        <v>99</v>
      </c>
      <c r="C98" s="7" t="s">
        <v>63</v>
      </c>
      <c r="D98" s="7" t="s">
        <v>150</v>
      </c>
      <c r="F98" s="7" t="s">
        <v>73</v>
      </c>
    </row>
    <row r="99" spans="2:6" x14ac:dyDescent="0.25">
      <c r="B99" s="7">
        <v>100</v>
      </c>
      <c r="C99" s="7" t="s">
        <v>63</v>
      </c>
      <c r="D99" s="7" t="s">
        <v>151</v>
      </c>
      <c r="F99" s="7" t="s">
        <v>73</v>
      </c>
    </row>
    <row r="100" spans="2:6" x14ac:dyDescent="0.25">
      <c r="B100" s="7">
        <v>101</v>
      </c>
      <c r="D100" s="7" t="s">
        <v>152</v>
      </c>
    </row>
    <row r="101" spans="2:6" x14ac:dyDescent="0.25">
      <c r="B101" s="7">
        <v>102</v>
      </c>
      <c r="C101" s="7" t="s">
        <v>63</v>
      </c>
      <c r="D101" s="7" t="s">
        <v>153</v>
      </c>
      <c r="F101" s="7" t="s">
        <v>73</v>
      </c>
    </row>
    <row r="102" spans="2:6" x14ac:dyDescent="0.25">
      <c r="B102" s="7">
        <v>103</v>
      </c>
      <c r="C102" s="7" t="s">
        <v>63</v>
      </c>
      <c r="D102" s="7" t="s">
        <v>154</v>
      </c>
      <c r="F102" s="7" t="s">
        <v>73</v>
      </c>
    </row>
    <row r="103" spans="2:6" x14ac:dyDescent="0.25">
      <c r="B103" s="7">
        <v>104</v>
      </c>
      <c r="C103" s="7" t="s">
        <v>63</v>
      </c>
      <c r="D103" s="7" t="s">
        <v>155</v>
      </c>
    </row>
    <row r="104" spans="2:6" x14ac:dyDescent="0.25">
      <c r="B104" s="7">
        <v>105</v>
      </c>
      <c r="C104" s="7" t="s">
        <v>63</v>
      </c>
      <c r="D104" s="7" t="s">
        <v>156</v>
      </c>
    </row>
    <row r="105" spans="2:6" x14ac:dyDescent="0.25">
      <c r="B105" s="7">
        <v>106</v>
      </c>
      <c r="C105" s="7" t="s">
        <v>63</v>
      </c>
      <c r="D105" s="7" t="s">
        <v>157</v>
      </c>
    </row>
    <row r="106" spans="2:6" x14ac:dyDescent="0.25">
      <c r="B106" s="7">
        <v>107</v>
      </c>
      <c r="C106" s="7" t="s">
        <v>63</v>
      </c>
      <c r="D106" s="7" t="s">
        <v>158</v>
      </c>
    </row>
    <row r="107" spans="2:6" x14ac:dyDescent="0.25">
      <c r="B107" s="7">
        <v>108</v>
      </c>
      <c r="C107" s="7" t="s">
        <v>64</v>
      </c>
      <c r="D107" s="7" t="s">
        <v>159</v>
      </c>
    </row>
    <row r="108" spans="2:6" x14ac:dyDescent="0.25">
      <c r="B108" s="7">
        <v>109</v>
      </c>
      <c r="C108" s="7" t="s">
        <v>64</v>
      </c>
      <c r="D108" s="7" t="s">
        <v>160</v>
      </c>
    </row>
    <row r="109" spans="2:6" x14ac:dyDescent="0.25">
      <c r="B109" s="7">
        <v>110</v>
      </c>
      <c r="C109" s="7" t="s">
        <v>65</v>
      </c>
      <c r="D109" s="7" t="s">
        <v>161</v>
      </c>
    </row>
    <row r="110" spans="2:6" x14ac:dyDescent="0.25">
      <c r="B110" s="7">
        <v>111</v>
      </c>
      <c r="C110" s="7" t="s">
        <v>65</v>
      </c>
      <c r="D110" s="7" t="s">
        <v>162</v>
      </c>
    </row>
    <row r="111" spans="2:6" x14ac:dyDescent="0.25">
      <c r="B111" s="7">
        <v>112</v>
      </c>
      <c r="C111" s="7" t="s">
        <v>65</v>
      </c>
      <c r="D111" s="6" t="s">
        <v>163</v>
      </c>
    </row>
    <row r="112" spans="2:6" x14ac:dyDescent="0.25">
      <c r="B112" s="7">
        <v>113</v>
      </c>
      <c r="C112" s="7" t="s">
        <v>65</v>
      </c>
      <c r="D112" s="7" t="s">
        <v>164</v>
      </c>
    </row>
    <row r="113" spans="2:4" x14ac:dyDescent="0.25">
      <c r="B113" s="7">
        <v>114</v>
      </c>
      <c r="C113" s="7" t="s">
        <v>66</v>
      </c>
      <c r="D113" s="7" t="s">
        <v>165</v>
      </c>
    </row>
    <row r="114" spans="2:4" x14ac:dyDescent="0.25">
      <c r="B114" s="7">
        <v>115</v>
      </c>
      <c r="C114" s="7" t="s">
        <v>66</v>
      </c>
      <c r="D114" s="7" t="s">
        <v>166</v>
      </c>
    </row>
    <row r="115" spans="2:4" x14ac:dyDescent="0.25">
      <c r="B115" s="7">
        <v>116</v>
      </c>
      <c r="C115" s="7" t="s">
        <v>63</v>
      </c>
      <c r="D115" s="7" t="s">
        <v>167</v>
      </c>
    </row>
    <row r="116" spans="2:4" x14ac:dyDescent="0.25">
      <c r="B116" s="7">
        <v>117</v>
      </c>
      <c r="C116" s="7" t="s">
        <v>63</v>
      </c>
      <c r="D116" s="7" t="s">
        <v>168</v>
      </c>
    </row>
    <row r="117" spans="2:4" x14ac:dyDescent="0.25">
      <c r="B117" s="7">
        <v>118</v>
      </c>
      <c r="C117" s="7" t="s">
        <v>63</v>
      </c>
      <c r="D117" s="7" t="s">
        <v>169</v>
      </c>
    </row>
    <row r="118" spans="2:4" x14ac:dyDescent="0.25">
      <c r="B118" s="7">
        <v>119</v>
      </c>
      <c r="C118" s="7" t="s">
        <v>64</v>
      </c>
      <c r="D118" s="7" t="s">
        <v>170</v>
      </c>
    </row>
    <row r="119" spans="2:4" x14ac:dyDescent="0.25">
      <c r="B119" s="7">
        <v>120</v>
      </c>
      <c r="C119" s="7" t="s">
        <v>69</v>
      </c>
      <c r="D119" s="7" t="s">
        <v>171</v>
      </c>
    </row>
    <row r="120" spans="2:4" x14ac:dyDescent="0.25">
      <c r="B120" s="7">
        <v>121</v>
      </c>
      <c r="C120" s="7" t="s">
        <v>64</v>
      </c>
      <c r="D120" s="7" t="s">
        <v>172</v>
      </c>
    </row>
    <row r="121" spans="2:4" x14ac:dyDescent="0.25">
      <c r="B121" s="7">
        <v>122</v>
      </c>
      <c r="C121" s="7" t="s">
        <v>65</v>
      </c>
      <c r="D121" s="7" t="s">
        <v>173</v>
      </c>
    </row>
    <row r="122" spans="2:4" x14ac:dyDescent="0.25">
      <c r="B122" s="7">
        <v>123</v>
      </c>
      <c r="C122" s="7" t="s">
        <v>65</v>
      </c>
      <c r="D122" s="7" t="s">
        <v>174</v>
      </c>
    </row>
    <row r="123" spans="2:4" x14ac:dyDescent="0.25">
      <c r="B123" s="7">
        <v>124</v>
      </c>
      <c r="C123" s="7" t="s">
        <v>65</v>
      </c>
      <c r="D123" s="7" t="s">
        <v>175</v>
      </c>
    </row>
    <row r="124" spans="2:4" x14ac:dyDescent="0.25">
      <c r="B124" s="7">
        <v>125</v>
      </c>
      <c r="C124" s="7" t="s">
        <v>64</v>
      </c>
      <c r="D124" s="7" t="s">
        <v>176</v>
      </c>
    </row>
    <row r="125" spans="2:4" x14ac:dyDescent="0.25">
      <c r="B125" s="7">
        <v>126</v>
      </c>
      <c r="C125" s="7" t="s">
        <v>64</v>
      </c>
      <c r="D125" s="7" t="s">
        <v>177</v>
      </c>
    </row>
    <row r="126" spans="2:4" x14ac:dyDescent="0.25">
      <c r="B126" s="7">
        <v>127</v>
      </c>
      <c r="C126" s="7" t="s">
        <v>64</v>
      </c>
      <c r="D126" s="7" t="s">
        <v>178</v>
      </c>
    </row>
    <row r="127" spans="2:4" x14ac:dyDescent="0.25">
      <c r="B127" s="7">
        <v>128</v>
      </c>
      <c r="C127" s="7" t="s">
        <v>64</v>
      </c>
      <c r="D127" s="7" t="s">
        <v>179</v>
      </c>
    </row>
    <row r="128" spans="2:4" x14ac:dyDescent="0.25">
      <c r="B128" s="7">
        <v>129</v>
      </c>
      <c r="C128" s="7" t="s">
        <v>64</v>
      </c>
      <c r="D128" s="7" t="s">
        <v>180</v>
      </c>
    </row>
    <row r="129" spans="2:4" x14ac:dyDescent="0.25">
      <c r="B129" s="7">
        <v>130</v>
      </c>
      <c r="C129" s="7" t="s">
        <v>66</v>
      </c>
      <c r="D129" s="7" t="s">
        <v>181</v>
      </c>
    </row>
    <row r="130" spans="2:4" x14ac:dyDescent="0.25">
      <c r="B130" s="7">
        <v>131</v>
      </c>
      <c r="C130" s="7" t="s">
        <v>63</v>
      </c>
      <c r="D130" s="7" t="s">
        <v>182</v>
      </c>
    </row>
    <row r="131" spans="2:4" x14ac:dyDescent="0.25">
      <c r="B131" s="7">
        <v>132</v>
      </c>
      <c r="C131" s="7" t="s">
        <v>65</v>
      </c>
      <c r="D131" s="7" t="s">
        <v>183</v>
      </c>
    </row>
    <row r="132" spans="2:4" x14ac:dyDescent="0.25">
      <c r="B132" s="7">
        <v>133</v>
      </c>
      <c r="C132" s="7" t="s">
        <v>64</v>
      </c>
      <c r="D132" s="7" t="s">
        <v>184</v>
      </c>
    </row>
    <row r="133" spans="2:4" x14ac:dyDescent="0.25">
      <c r="B133" s="7">
        <v>134</v>
      </c>
      <c r="C133" s="7" t="s">
        <v>65</v>
      </c>
      <c r="D133" s="7" t="s">
        <v>185</v>
      </c>
    </row>
    <row r="134" spans="2:4" x14ac:dyDescent="0.25">
      <c r="B134" s="7">
        <v>135</v>
      </c>
      <c r="C134" s="7" t="s">
        <v>65</v>
      </c>
      <c r="D134" s="7" t="s">
        <v>186</v>
      </c>
    </row>
    <row r="135" spans="2:4" x14ac:dyDescent="0.25">
      <c r="B135" s="7">
        <v>136</v>
      </c>
      <c r="C135" s="7" t="s">
        <v>65</v>
      </c>
      <c r="D135" s="7" t="s">
        <v>187</v>
      </c>
    </row>
    <row r="136" spans="2:4" x14ac:dyDescent="0.25">
      <c r="B136" s="7">
        <v>137</v>
      </c>
      <c r="C136" s="7" t="s">
        <v>65</v>
      </c>
      <c r="D136" s="7" t="s">
        <v>188</v>
      </c>
    </row>
    <row r="137" spans="2:4" x14ac:dyDescent="0.25">
      <c r="B137" s="7">
        <v>138</v>
      </c>
      <c r="C137" s="7" t="s">
        <v>65</v>
      </c>
      <c r="D137" s="7" t="s">
        <v>189</v>
      </c>
    </row>
    <row r="138" spans="2:4" x14ac:dyDescent="0.25">
      <c r="B138" s="7">
        <v>139</v>
      </c>
      <c r="C138" s="7" t="s">
        <v>65</v>
      </c>
      <c r="D138" s="7" t="s">
        <v>190</v>
      </c>
    </row>
    <row r="139" spans="2:4" x14ac:dyDescent="0.25">
      <c r="B139" s="7">
        <v>140</v>
      </c>
      <c r="C139" s="7" t="s">
        <v>65</v>
      </c>
      <c r="D139" s="7" t="s">
        <v>191</v>
      </c>
    </row>
    <row r="140" spans="2:4" x14ac:dyDescent="0.25">
      <c r="B140" s="7">
        <v>141</v>
      </c>
      <c r="C140" s="7" t="s">
        <v>64</v>
      </c>
      <c r="D140" s="7" t="s">
        <v>192</v>
      </c>
    </row>
    <row r="141" spans="2:4" x14ac:dyDescent="0.25">
      <c r="B141" s="7">
        <v>142</v>
      </c>
      <c r="C141" s="7" t="s">
        <v>65</v>
      </c>
      <c r="D141" s="7" t="s">
        <v>193</v>
      </c>
    </row>
    <row r="142" spans="2:4" x14ac:dyDescent="0.25">
      <c r="B142" s="7">
        <v>143</v>
      </c>
      <c r="D142" s="7"/>
    </row>
    <row r="143" spans="2:4" x14ac:dyDescent="0.25">
      <c r="B143" s="7">
        <v>144</v>
      </c>
      <c r="D143" s="7" t="s">
        <v>194</v>
      </c>
    </row>
    <row r="144" spans="2:4" x14ac:dyDescent="0.25">
      <c r="B144" s="7">
        <v>145</v>
      </c>
      <c r="C144" s="7" t="s">
        <v>66</v>
      </c>
      <c r="D144" s="7" t="s">
        <v>195</v>
      </c>
    </row>
    <row r="145" spans="2:4" x14ac:dyDescent="0.25">
      <c r="B145" s="7">
        <v>146</v>
      </c>
      <c r="C145" s="7" t="s">
        <v>63</v>
      </c>
      <c r="D145" s="7" t="s">
        <v>196</v>
      </c>
    </row>
    <row r="146" spans="2:4" x14ac:dyDescent="0.25">
      <c r="B146" s="7">
        <v>147</v>
      </c>
      <c r="C146" s="7" t="s">
        <v>63</v>
      </c>
      <c r="D146" s="7" t="s">
        <v>197</v>
      </c>
    </row>
    <row r="147" spans="2:4" x14ac:dyDescent="0.25">
      <c r="B147" s="7">
        <v>148</v>
      </c>
      <c r="C147" s="7" t="s">
        <v>63</v>
      </c>
      <c r="D147" s="7" t="s">
        <v>198</v>
      </c>
    </row>
    <row r="148" spans="2:4" x14ac:dyDescent="0.25">
      <c r="B148" s="7">
        <v>149</v>
      </c>
      <c r="C148" s="7" t="s">
        <v>63</v>
      </c>
      <c r="D148" s="7" t="s">
        <v>199</v>
      </c>
    </row>
    <row r="149" spans="2:4" x14ac:dyDescent="0.25">
      <c r="B149" s="7">
        <v>150</v>
      </c>
      <c r="C149" s="7" t="s">
        <v>63</v>
      </c>
      <c r="D149" s="7" t="s">
        <v>200</v>
      </c>
    </row>
    <row r="150" spans="2:4" x14ac:dyDescent="0.25">
      <c r="B150" s="7">
        <v>151</v>
      </c>
      <c r="C150" s="7" t="s">
        <v>66</v>
      </c>
      <c r="D150" s="7" t="s">
        <v>201</v>
      </c>
    </row>
    <row r="151" spans="2:4" x14ac:dyDescent="0.25">
      <c r="B151" s="7">
        <v>152</v>
      </c>
      <c r="C151" s="7" t="s">
        <v>66</v>
      </c>
      <c r="D151" s="7" t="s">
        <v>202</v>
      </c>
    </row>
    <row r="152" spans="2:4" x14ac:dyDescent="0.25">
      <c r="B152" s="7">
        <v>153</v>
      </c>
      <c r="C152" s="7" t="s">
        <v>63</v>
      </c>
      <c r="D152" s="7" t="s">
        <v>203</v>
      </c>
    </row>
    <row r="153" spans="2:4" x14ac:dyDescent="0.25">
      <c r="B153" s="7">
        <v>154</v>
      </c>
      <c r="C153" s="7" t="s">
        <v>63</v>
      </c>
      <c r="D153" s="7" t="s">
        <v>204</v>
      </c>
    </row>
    <row r="154" spans="2:4" x14ac:dyDescent="0.25">
      <c r="B154" s="7">
        <v>155</v>
      </c>
      <c r="C154" s="7" t="s">
        <v>63</v>
      </c>
      <c r="D154" s="7" t="s">
        <v>205</v>
      </c>
    </row>
    <row r="155" spans="2:4" x14ac:dyDescent="0.25">
      <c r="B155" s="7">
        <v>156</v>
      </c>
      <c r="C155" s="7" t="s">
        <v>63</v>
      </c>
      <c r="D155" s="7" t="s">
        <v>206</v>
      </c>
    </row>
    <row r="156" spans="2:4" x14ac:dyDescent="0.25">
      <c r="B156" s="7">
        <v>157</v>
      </c>
      <c r="C156" s="7" t="s">
        <v>65</v>
      </c>
      <c r="D156" s="7" t="s">
        <v>207</v>
      </c>
    </row>
    <row r="157" spans="2:4" x14ac:dyDescent="0.25">
      <c r="B157" s="7">
        <v>158</v>
      </c>
      <c r="C157" s="7" t="s">
        <v>65</v>
      </c>
      <c r="D157" s="7" t="s">
        <v>208</v>
      </c>
    </row>
    <row r="158" spans="2:4" x14ac:dyDescent="0.25">
      <c r="B158" s="7">
        <v>159</v>
      </c>
      <c r="C158" s="7" t="s">
        <v>64</v>
      </c>
      <c r="D158" s="7" t="s">
        <v>209</v>
      </c>
    </row>
    <row r="159" spans="2:4" x14ac:dyDescent="0.25">
      <c r="B159" s="7">
        <v>160</v>
      </c>
      <c r="C159" s="7" t="s">
        <v>65</v>
      </c>
      <c r="D159" s="7" t="s">
        <v>210</v>
      </c>
    </row>
    <row r="160" spans="2:4" x14ac:dyDescent="0.25">
      <c r="B160" s="7">
        <v>161</v>
      </c>
      <c r="C160" s="7" t="s">
        <v>65</v>
      </c>
      <c r="D160" s="7" t="s">
        <v>211</v>
      </c>
    </row>
    <row r="161" spans="2:4" x14ac:dyDescent="0.25">
      <c r="B161" s="7">
        <v>162</v>
      </c>
      <c r="C161" s="7" t="s">
        <v>64</v>
      </c>
      <c r="D161" s="7" t="s">
        <v>212</v>
      </c>
    </row>
    <row r="162" spans="2:4" x14ac:dyDescent="0.25">
      <c r="B162" s="7">
        <v>163</v>
      </c>
      <c r="C162" s="7" t="s">
        <v>63</v>
      </c>
      <c r="D162" s="7" t="s">
        <v>213</v>
      </c>
    </row>
    <row r="163" spans="2:4" x14ac:dyDescent="0.25">
      <c r="B163" s="7">
        <v>164</v>
      </c>
      <c r="C163" s="7" t="s">
        <v>63</v>
      </c>
      <c r="D163" s="7" t="s">
        <v>214</v>
      </c>
    </row>
    <row r="164" spans="2:4" x14ac:dyDescent="0.25">
      <c r="B164" s="7">
        <v>165</v>
      </c>
      <c r="C164" s="7" t="s">
        <v>66</v>
      </c>
      <c r="D164" s="7" t="s">
        <v>165</v>
      </c>
    </row>
    <row r="165" spans="2:4" x14ac:dyDescent="0.25">
      <c r="B165" s="7">
        <v>166</v>
      </c>
      <c r="C165" s="7" t="s">
        <v>66</v>
      </c>
      <c r="D165" s="7" t="s">
        <v>215</v>
      </c>
    </row>
    <row r="166" spans="2:4" x14ac:dyDescent="0.25">
      <c r="B166" s="7">
        <v>167</v>
      </c>
      <c r="C166" s="7" t="s">
        <v>65</v>
      </c>
      <c r="D166" s="7" t="s">
        <v>207</v>
      </c>
    </row>
    <row r="167" spans="2:4" x14ac:dyDescent="0.25">
      <c r="B167" s="7">
        <v>168</v>
      </c>
      <c r="C167" s="7" t="s">
        <v>63</v>
      </c>
      <c r="D167" s="7" t="s">
        <v>216</v>
      </c>
    </row>
    <row r="168" spans="2:4" x14ac:dyDescent="0.25">
      <c r="B168" s="7">
        <v>169</v>
      </c>
      <c r="C168" s="7" t="s">
        <v>63</v>
      </c>
      <c r="D168" s="7" t="s">
        <v>217</v>
      </c>
    </row>
    <row r="169" spans="2:4" x14ac:dyDescent="0.25">
      <c r="B169" s="7">
        <v>170</v>
      </c>
      <c r="C169" s="7" t="s">
        <v>63</v>
      </c>
      <c r="D169" s="7" t="s">
        <v>218</v>
      </c>
    </row>
    <row r="170" spans="2:4" x14ac:dyDescent="0.25">
      <c r="B170" s="7">
        <v>171</v>
      </c>
      <c r="C170" s="7" t="s">
        <v>65</v>
      </c>
      <c r="D170" s="7" t="s">
        <v>207</v>
      </c>
    </row>
    <row r="171" spans="2:4" x14ac:dyDescent="0.25">
      <c r="B171" s="7">
        <v>172</v>
      </c>
      <c r="C171" s="7" t="s">
        <v>65</v>
      </c>
      <c r="D171" s="7" t="s">
        <v>207</v>
      </c>
    </row>
    <row r="172" spans="2:4" x14ac:dyDescent="0.25">
      <c r="B172" s="7">
        <v>173</v>
      </c>
      <c r="C172" s="7" t="s">
        <v>64</v>
      </c>
      <c r="D172" s="7" t="s">
        <v>219</v>
      </c>
    </row>
    <row r="173" spans="2:4" x14ac:dyDescent="0.25">
      <c r="B173" s="7">
        <v>174</v>
      </c>
      <c r="C173" s="7" t="s">
        <v>65</v>
      </c>
      <c r="D173" s="7" t="s">
        <v>220</v>
      </c>
    </row>
    <row r="174" spans="2:4" x14ac:dyDescent="0.25">
      <c r="B174" s="7">
        <v>175</v>
      </c>
      <c r="D174" s="7"/>
    </row>
    <row r="175" spans="2:4" x14ac:dyDescent="0.25">
      <c r="B175" s="7">
        <v>176</v>
      </c>
      <c r="D175" s="7" t="s">
        <v>221</v>
      </c>
    </row>
    <row r="176" spans="2:4" x14ac:dyDescent="0.25">
      <c r="B176" s="7">
        <v>177</v>
      </c>
      <c r="C176" s="7" t="s">
        <v>66</v>
      </c>
      <c r="D176" s="7" t="s">
        <v>166</v>
      </c>
    </row>
    <row r="177" spans="2:8" x14ac:dyDescent="0.25">
      <c r="B177" s="7">
        <v>178</v>
      </c>
      <c r="C177" s="7" t="s">
        <v>63</v>
      </c>
      <c r="D177" s="7" t="s">
        <v>222</v>
      </c>
    </row>
    <row r="178" spans="2:8" x14ac:dyDescent="0.25">
      <c r="B178" s="7">
        <v>179</v>
      </c>
      <c r="C178" s="7" t="s">
        <v>63</v>
      </c>
      <c r="D178" s="7" t="s">
        <v>80</v>
      </c>
    </row>
    <row r="179" spans="2:8" x14ac:dyDescent="0.25">
      <c r="B179" s="7">
        <v>180</v>
      </c>
      <c r="C179" s="7" t="s">
        <v>63</v>
      </c>
      <c r="D179" s="7" t="s">
        <v>96</v>
      </c>
    </row>
    <row r="180" spans="2:8" x14ac:dyDescent="0.25">
      <c r="B180" s="7">
        <v>181</v>
      </c>
      <c r="C180" s="7" t="s">
        <v>66</v>
      </c>
      <c r="D180" s="7" t="s">
        <v>223</v>
      </c>
    </row>
    <row r="181" spans="2:8" x14ac:dyDescent="0.25">
      <c r="B181" s="7">
        <v>182</v>
      </c>
      <c r="C181" s="7" t="s">
        <v>63</v>
      </c>
      <c r="D181" s="7" t="s">
        <v>224</v>
      </c>
    </row>
    <row r="182" spans="2:8" x14ac:dyDescent="0.25">
      <c r="B182" s="7">
        <v>183</v>
      </c>
      <c r="C182" s="7" t="s">
        <v>63</v>
      </c>
      <c r="D182" s="7" t="s">
        <v>225</v>
      </c>
    </row>
    <row r="183" spans="2:8" x14ac:dyDescent="0.25">
      <c r="B183" s="7">
        <v>184</v>
      </c>
      <c r="C183" s="7" t="s">
        <v>63</v>
      </c>
      <c r="D183" s="7" t="s">
        <v>226</v>
      </c>
    </row>
    <row r="184" spans="2:8" x14ac:dyDescent="0.25">
      <c r="B184" s="7">
        <v>185</v>
      </c>
      <c r="C184" s="7" t="s">
        <v>63</v>
      </c>
      <c r="D184" s="7" t="s">
        <v>227</v>
      </c>
      <c r="F184" s="8"/>
      <c r="G184" s="8"/>
    </row>
    <row r="185" spans="2:8" x14ac:dyDescent="0.25">
      <c r="B185" s="7">
        <v>186</v>
      </c>
      <c r="C185" s="7" t="s">
        <v>64</v>
      </c>
      <c r="D185" s="7" t="s">
        <v>228</v>
      </c>
      <c r="F185" s="8"/>
      <c r="G185" s="8"/>
    </row>
    <row r="186" spans="2:8" x14ac:dyDescent="0.25">
      <c r="B186" s="7">
        <v>187</v>
      </c>
      <c r="C186" s="9" t="s">
        <v>64</v>
      </c>
      <c r="D186" s="7" t="s">
        <v>229</v>
      </c>
      <c r="F186" s="10"/>
      <c r="G186" s="8"/>
      <c r="H186" s="17"/>
    </row>
    <row r="187" spans="2:8" x14ac:dyDescent="0.25">
      <c r="B187" s="7">
        <v>188</v>
      </c>
      <c r="C187" s="9" t="s">
        <v>65</v>
      </c>
      <c r="D187" s="7" t="s">
        <v>230</v>
      </c>
      <c r="F187" s="10"/>
      <c r="G187" s="11"/>
      <c r="H187" s="17"/>
    </row>
    <row r="188" spans="2:8" x14ac:dyDescent="0.25">
      <c r="B188" s="7">
        <v>189</v>
      </c>
      <c r="C188" s="9" t="s">
        <v>65</v>
      </c>
      <c r="D188" s="7" t="s">
        <v>231</v>
      </c>
      <c r="F188" s="10"/>
      <c r="G188" s="11"/>
      <c r="H188" s="17"/>
    </row>
    <row r="189" spans="2:8" x14ac:dyDescent="0.25">
      <c r="B189" s="7">
        <v>190</v>
      </c>
      <c r="C189" s="9" t="s">
        <v>69</v>
      </c>
      <c r="D189" s="7" t="s">
        <v>232</v>
      </c>
      <c r="F189" s="10"/>
      <c r="G189" s="11"/>
      <c r="H189" s="17"/>
    </row>
    <row r="190" spans="2:8" x14ac:dyDescent="0.25">
      <c r="B190" s="7">
        <v>191</v>
      </c>
      <c r="C190" s="9" t="s">
        <v>64</v>
      </c>
      <c r="D190" s="7" t="s">
        <v>233</v>
      </c>
      <c r="F190" s="10"/>
      <c r="G190" s="11"/>
      <c r="H190" s="17"/>
    </row>
    <row r="191" spans="2:8" x14ac:dyDescent="0.25">
      <c r="B191" s="7">
        <v>192</v>
      </c>
      <c r="C191" s="9" t="s">
        <v>64</v>
      </c>
      <c r="D191" s="7" t="s">
        <v>159</v>
      </c>
      <c r="F191" s="10"/>
      <c r="G191" s="11"/>
      <c r="H191" s="17"/>
    </row>
    <row r="192" spans="2:8" x14ac:dyDescent="0.25">
      <c r="B192" s="7">
        <v>193</v>
      </c>
      <c r="C192" s="9" t="s">
        <v>64</v>
      </c>
      <c r="D192" s="7" t="s">
        <v>160</v>
      </c>
      <c r="F192" s="10"/>
      <c r="G192" s="11"/>
      <c r="H192" s="17"/>
    </row>
    <row r="193" spans="2:8" x14ac:dyDescent="0.25">
      <c r="B193" s="7">
        <v>194</v>
      </c>
      <c r="C193" s="9" t="s">
        <v>69</v>
      </c>
      <c r="D193" s="7" t="s">
        <v>234</v>
      </c>
      <c r="F193" s="10"/>
      <c r="G193" s="11"/>
      <c r="H193" s="17"/>
    </row>
    <row r="194" spans="2:8" x14ac:dyDescent="0.25">
      <c r="B194" s="7">
        <v>195</v>
      </c>
      <c r="C194" s="9" t="s">
        <v>63</v>
      </c>
      <c r="D194" s="7" t="s">
        <v>161</v>
      </c>
      <c r="F194" s="10"/>
      <c r="G194" s="11"/>
      <c r="H194" s="17"/>
    </row>
    <row r="195" spans="2:8" x14ac:dyDescent="0.25">
      <c r="B195" s="7">
        <v>196</v>
      </c>
      <c r="C195" s="9" t="s">
        <v>65</v>
      </c>
      <c r="D195" s="7" t="s">
        <v>162</v>
      </c>
      <c r="F195" s="10"/>
      <c r="G195" s="11"/>
      <c r="H195" s="17"/>
    </row>
    <row r="196" spans="2:8" x14ac:dyDescent="0.25">
      <c r="B196" s="7">
        <v>197</v>
      </c>
      <c r="C196" s="9" t="s">
        <v>64</v>
      </c>
      <c r="D196" s="7" t="s">
        <v>235</v>
      </c>
      <c r="F196" s="10"/>
      <c r="G196" s="11"/>
      <c r="H196" s="17"/>
    </row>
    <row r="197" spans="2:8" x14ac:dyDescent="0.25">
      <c r="B197" s="7">
        <v>198</v>
      </c>
      <c r="C197" s="9" t="s">
        <v>64</v>
      </c>
      <c r="D197" s="7" t="s">
        <v>236</v>
      </c>
      <c r="F197" s="10"/>
      <c r="G197" s="11"/>
      <c r="H197" s="17"/>
    </row>
    <row r="198" spans="2:8" x14ac:dyDescent="0.25">
      <c r="B198" s="7">
        <v>199</v>
      </c>
      <c r="C198" s="9" t="s">
        <v>65</v>
      </c>
      <c r="D198" s="7" t="s">
        <v>231</v>
      </c>
      <c r="F198" s="10"/>
      <c r="G198" s="11"/>
      <c r="H198" s="17"/>
    </row>
    <row r="199" spans="2:8" x14ac:dyDescent="0.25">
      <c r="B199" s="7">
        <v>200</v>
      </c>
      <c r="C199" s="9" t="s">
        <v>65</v>
      </c>
      <c r="D199" s="7" t="s">
        <v>237</v>
      </c>
      <c r="F199" s="10"/>
      <c r="G199" s="11"/>
      <c r="H199" s="17"/>
    </row>
    <row r="200" spans="2:8" x14ac:dyDescent="0.25">
      <c r="B200" s="7">
        <v>201</v>
      </c>
      <c r="C200" s="9" t="s">
        <v>63</v>
      </c>
      <c r="D200" s="7" t="s">
        <v>238</v>
      </c>
      <c r="F200" s="10"/>
      <c r="G200" s="11"/>
      <c r="H200" s="17"/>
    </row>
    <row r="201" spans="2:8" x14ac:dyDescent="0.25">
      <c r="B201" s="7">
        <v>202</v>
      </c>
      <c r="C201" s="9" t="s">
        <v>66</v>
      </c>
      <c r="D201" s="7" t="s">
        <v>239</v>
      </c>
      <c r="F201" s="10"/>
      <c r="G201" s="11"/>
      <c r="H201" s="17"/>
    </row>
    <row r="202" spans="2:8" x14ac:dyDescent="0.25">
      <c r="B202" s="7">
        <v>203</v>
      </c>
      <c r="C202" s="9" t="s">
        <v>63</v>
      </c>
      <c r="D202" s="7" t="s">
        <v>240</v>
      </c>
      <c r="F202" s="10"/>
      <c r="G202" s="11"/>
      <c r="H202" s="17"/>
    </row>
    <row r="203" spans="2:8" x14ac:dyDescent="0.25">
      <c r="B203" s="7">
        <v>204</v>
      </c>
      <c r="C203" s="9"/>
      <c r="D203" s="7"/>
      <c r="F203" s="10"/>
      <c r="G203" s="11"/>
      <c r="H203" s="17"/>
    </row>
    <row r="204" spans="2:8" x14ac:dyDescent="0.25">
      <c r="B204" s="7">
        <v>205</v>
      </c>
      <c r="C204" s="9"/>
      <c r="D204" s="7" t="s">
        <v>241</v>
      </c>
      <c r="F204" s="10"/>
      <c r="G204" s="11"/>
      <c r="H204" s="17"/>
    </row>
    <row r="205" spans="2:8" x14ac:dyDescent="0.25">
      <c r="B205" s="7">
        <v>206</v>
      </c>
      <c r="C205" s="9" t="s">
        <v>63</v>
      </c>
      <c r="D205" s="7" t="s">
        <v>127</v>
      </c>
      <c r="F205" s="10"/>
      <c r="G205" s="11"/>
      <c r="H205" s="17"/>
    </row>
    <row r="206" spans="2:8" x14ac:dyDescent="0.25">
      <c r="B206" s="7">
        <v>207</v>
      </c>
      <c r="C206" s="9" t="s">
        <v>63</v>
      </c>
      <c r="D206" s="7" t="s">
        <v>242</v>
      </c>
      <c r="F206" s="10"/>
      <c r="G206" s="11"/>
      <c r="H206" s="17"/>
    </row>
    <row r="207" spans="2:8" x14ac:dyDescent="0.25">
      <c r="B207" s="7">
        <v>208</v>
      </c>
      <c r="C207" s="9" t="s">
        <v>66</v>
      </c>
      <c r="D207" s="7" t="s">
        <v>243</v>
      </c>
      <c r="F207" s="10"/>
      <c r="G207" s="11"/>
      <c r="H207" s="17"/>
    </row>
    <row r="208" spans="2:8" x14ac:dyDescent="0.25">
      <c r="B208" s="7">
        <v>209</v>
      </c>
      <c r="C208" s="9" t="s">
        <v>63</v>
      </c>
      <c r="D208" s="7" t="s">
        <v>244</v>
      </c>
      <c r="F208" s="10"/>
      <c r="G208" s="11"/>
      <c r="H208" s="17"/>
    </row>
    <row r="209" spans="2:8" x14ac:dyDescent="0.25">
      <c r="B209" s="7">
        <v>210</v>
      </c>
      <c r="C209" s="9" t="s">
        <v>66</v>
      </c>
      <c r="D209" s="7" t="s">
        <v>245</v>
      </c>
      <c r="F209" s="10"/>
      <c r="G209" s="11"/>
      <c r="H209" s="17"/>
    </row>
    <row r="210" spans="2:8" x14ac:dyDescent="0.25">
      <c r="B210" s="7">
        <v>211</v>
      </c>
      <c r="C210" s="9" t="s">
        <v>63</v>
      </c>
      <c r="D210" s="7" t="s">
        <v>246</v>
      </c>
      <c r="F210" s="10"/>
      <c r="G210" s="11"/>
      <c r="H210" s="17"/>
    </row>
    <row r="211" spans="2:8" x14ac:dyDescent="0.25">
      <c r="B211" s="7">
        <v>212</v>
      </c>
      <c r="C211" s="9" t="s">
        <v>63</v>
      </c>
      <c r="D211" s="7" t="s">
        <v>247</v>
      </c>
      <c r="F211" s="10"/>
      <c r="G211" s="11"/>
      <c r="H211" s="17"/>
    </row>
    <row r="212" spans="2:8" x14ac:dyDescent="0.25">
      <c r="B212" s="7">
        <v>213</v>
      </c>
      <c r="C212" s="9" t="s">
        <v>63</v>
      </c>
      <c r="D212" s="7" t="s">
        <v>248</v>
      </c>
      <c r="F212" s="10"/>
      <c r="G212" s="11"/>
      <c r="H212" s="17"/>
    </row>
    <row r="213" spans="2:8" x14ac:dyDescent="0.25">
      <c r="B213" s="7">
        <v>214</v>
      </c>
      <c r="C213" s="9" t="s">
        <v>63</v>
      </c>
      <c r="D213" s="7" t="s">
        <v>249</v>
      </c>
      <c r="F213" s="10"/>
      <c r="G213" s="11"/>
      <c r="H213" s="17"/>
    </row>
    <row r="214" spans="2:8" x14ac:dyDescent="0.25">
      <c r="B214" s="7">
        <v>215</v>
      </c>
      <c r="C214" s="9" t="s">
        <v>63</v>
      </c>
      <c r="D214" s="7" t="s">
        <v>250</v>
      </c>
      <c r="F214" s="10"/>
      <c r="G214" s="11"/>
      <c r="H214" s="17"/>
    </row>
    <row r="215" spans="2:8" x14ac:dyDescent="0.25">
      <c r="B215" s="7">
        <v>216</v>
      </c>
      <c r="C215" s="9" t="s">
        <v>63</v>
      </c>
      <c r="D215" s="7" t="s">
        <v>251</v>
      </c>
      <c r="F215" s="10"/>
      <c r="G215" s="11"/>
      <c r="H215" s="17"/>
    </row>
    <row r="216" spans="2:8" x14ac:dyDescent="0.25">
      <c r="B216" s="7">
        <v>217</v>
      </c>
      <c r="C216" s="9" t="s">
        <v>63</v>
      </c>
      <c r="D216" s="7" t="s">
        <v>252</v>
      </c>
      <c r="F216" s="10"/>
      <c r="G216" s="11"/>
      <c r="H216" s="17"/>
    </row>
    <row r="217" spans="2:8" x14ac:dyDescent="0.25">
      <c r="B217" s="7">
        <v>218</v>
      </c>
      <c r="C217" s="9" t="s">
        <v>63</v>
      </c>
      <c r="D217" s="7" t="s">
        <v>253</v>
      </c>
      <c r="F217" s="10"/>
      <c r="G217" s="11"/>
      <c r="H217" s="17"/>
    </row>
    <row r="218" spans="2:8" x14ac:dyDescent="0.25">
      <c r="B218" s="7">
        <v>219</v>
      </c>
      <c r="C218" s="9" t="s">
        <v>63</v>
      </c>
      <c r="D218" s="7" t="s">
        <v>254</v>
      </c>
      <c r="F218" s="10"/>
      <c r="G218" s="11"/>
      <c r="H218" s="17"/>
    </row>
    <row r="219" spans="2:8" x14ac:dyDescent="0.25">
      <c r="B219" s="7">
        <v>220</v>
      </c>
      <c r="C219" s="9" t="s">
        <v>64</v>
      </c>
      <c r="D219" s="7" t="s">
        <v>255</v>
      </c>
      <c r="F219" s="10"/>
      <c r="G219" s="11"/>
      <c r="H219" s="17"/>
    </row>
    <row r="220" spans="2:8" x14ac:dyDescent="0.25">
      <c r="B220" s="7">
        <v>221</v>
      </c>
      <c r="C220" s="9" t="s">
        <v>64</v>
      </c>
      <c r="D220" s="7" t="s">
        <v>256</v>
      </c>
      <c r="F220" s="10"/>
      <c r="G220" s="11"/>
      <c r="H220" s="17"/>
    </row>
    <row r="221" spans="2:8" x14ac:dyDescent="0.25">
      <c r="B221" s="7">
        <v>222</v>
      </c>
      <c r="C221" s="9" t="s">
        <v>64</v>
      </c>
      <c r="D221" s="7" t="s">
        <v>257</v>
      </c>
      <c r="F221" s="10"/>
      <c r="G221" s="11"/>
      <c r="H221" s="17"/>
    </row>
    <row r="222" spans="2:8" x14ac:dyDescent="0.25">
      <c r="B222" s="7">
        <v>223</v>
      </c>
      <c r="C222" s="9" t="s">
        <v>64</v>
      </c>
      <c r="D222" s="7" t="s">
        <v>258</v>
      </c>
      <c r="F222" s="10"/>
      <c r="G222" s="11"/>
      <c r="H222" s="17"/>
    </row>
    <row r="223" spans="2:8" x14ac:dyDescent="0.25">
      <c r="B223" s="7">
        <v>224</v>
      </c>
      <c r="C223" s="9" t="s">
        <v>65</v>
      </c>
      <c r="D223" s="7" t="s">
        <v>161</v>
      </c>
      <c r="F223" s="10"/>
      <c r="G223" s="11"/>
      <c r="H223" s="17"/>
    </row>
    <row r="224" spans="2:8" x14ac:dyDescent="0.25">
      <c r="B224" s="7">
        <v>225</v>
      </c>
      <c r="C224" s="9" t="s">
        <v>63</v>
      </c>
      <c r="D224" s="7" t="s">
        <v>259</v>
      </c>
      <c r="F224" s="10"/>
      <c r="G224" s="8"/>
      <c r="H224" s="17"/>
    </row>
    <row r="225" spans="2:8" x14ac:dyDescent="0.25">
      <c r="B225" s="7">
        <v>226</v>
      </c>
      <c r="C225" s="9" t="s">
        <v>63</v>
      </c>
      <c r="D225" s="7" t="s">
        <v>260</v>
      </c>
      <c r="F225" s="10"/>
      <c r="G225" s="8"/>
      <c r="H225" s="17"/>
    </row>
    <row r="226" spans="2:8" x14ac:dyDescent="0.25">
      <c r="B226" s="7">
        <v>227</v>
      </c>
      <c r="C226" s="7" t="s">
        <v>66</v>
      </c>
      <c r="D226" s="7" t="s">
        <v>166</v>
      </c>
    </row>
    <row r="227" spans="2:8" x14ac:dyDescent="0.25">
      <c r="B227" s="7">
        <v>228</v>
      </c>
      <c r="C227" s="7" t="s">
        <v>63</v>
      </c>
      <c r="D227" s="7" t="s">
        <v>261</v>
      </c>
    </row>
    <row r="228" spans="2:8" x14ac:dyDescent="0.25">
      <c r="B228" s="7">
        <v>229</v>
      </c>
      <c r="C228" s="7" t="s">
        <v>66</v>
      </c>
      <c r="D228" s="7" t="s">
        <v>262</v>
      </c>
    </row>
    <row r="229" spans="2:8" x14ac:dyDescent="0.25">
      <c r="B229" s="7">
        <v>230</v>
      </c>
      <c r="C229" s="7" t="s">
        <v>63</v>
      </c>
      <c r="D229" s="7" t="s">
        <v>263</v>
      </c>
    </row>
    <row r="230" spans="2:8" x14ac:dyDescent="0.25">
      <c r="B230" s="7">
        <v>231</v>
      </c>
      <c r="C230" s="7" t="s">
        <v>63</v>
      </c>
      <c r="D230" s="7" t="s">
        <v>264</v>
      </c>
    </row>
    <row r="231" spans="2:8" x14ac:dyDescent="0.25">
      <c r="B231" s="7">
        <v>232</v>
      </c>
      <c r="C231" s="7" t="s">
        <v>63</v>
      </c>
      <c r="D231" s="7" t="s">
        <v>265</v>
      </c>
    </row>
    <row r="232" spans="2:8" x14ac:dyDescent="0.25">
      <c r="B232" s="7">
        <v>233</v>
      </c>
      <c r="C232" s="7" t="s">
        <v>63</v>
      </c>
      <c r="D232" s="7" t="s">
        <v>266</v>
      </c>
    </row>
    <row r="233" spans="2:8" x14ac:dyDescent="0.25">
      <c r="B233" s="7">
        <v>234</v>
      </c>
      <c r="C233" s="7" t="s">
        <v>66</v>
      </c>
      <c r="D233" s="7" t="s">
        <v>267</v>
      </c>
    </row>
    <row r="234" spans="2:8" x14ac:dyDescent="0.25">
      <c r="B234" s="7">
        <v>235</v>
      </c>
      <c r="C234" s="7" t="s">
        <v>63</v>
      </c>
      <c r="D234" s="7" t="s">
        <v>268</v>
      </c>
    </row>
    <row r="235" spans="2:8" x14ac:dyDescent="0.25">
      <c r="B235" s="7">
        <v>236</v>
      </c>
      <c r="C235" s="7" t="s">
        <v>66</v>
      </c>
      <c r="D235" s="7" t="s">
        <v>267</v>
      </c>
    </row>
    <row r="236" spans="2:8" x14ac:dyDescent="0.25">
      <c r="B236" s="7">
        <v>237</v>
      </c>
      <c r="C236" s="7" t="s">
        <v>65</v>
      </c>
      <c r="D236" s="7" t="s">
        <v>269</v>
      </c>
    </row>
    <row r="237" spans="2:8" x14ac:dyDescent="0.25">
      <c r="B237" s="7">
        <v>238</v>
      </c>
      <c r="C237" s="7" t="s">
        <v>65</v>
      </c>
      <c r="D237" s="7" t="s">
        <v>162</v>
      </c>
    </row>
    <row r="238" spans="2:8" x14ac:dyDescent="0.25">
      <c r="B238" s="7">
        <v>239</v>
      </c>
      <c r="C238" s="7" t="s">
        <v>69</v>
      </c>
      <c r="D238" s="7" t="s">
        <v>234</v>
      </c>
    </row>
    <row r="239" spans="2:8" x14ac:dyDescent="0.25">
      <c r="B239" s="7">
        <v>240</v>
      </c>
      <c r="C239" s="7" t="s">
        <v>64</v>
      </c>
      <c r="D239" s="7" t="s">
        <v>270</v>
      </c>
    </row>
    <row r="240" spans="2:8" x14ac:dyDescent="0.25">
      <c r="B240" s="7">
        <v>241</v>
      </c>
      <c r="C240" s="7" t="s">
        <v>64</v>
      </c>
      <c r="D240" s="7" t="s">
        <v>271</v>
      </c>
    </row>
    <row r="241" spans="2:4" x14ac:dyDescent="0.25">
      <c r="B241" s="7">
        <v>242</v>
      </c>
      <c r="C241" s="7" t="s">
        <v>64</v>
      </c>
      <c r="D241" s="7" t="s">
        <v>272</v>
      </c>
    </row>
    <row r="242" spans="2:4" x14ac:dyDescent="0.25">
      <c r="B242" s="7">
        <v>243</v>
      </c>
      <c r="C242" s="7" t="s">
        <v>63</v>
      </c>
      <c r="D242" s="7" t="s">
        <v>273</v>
      </c>
    </row>
    <row r="243" spans="2:4" x14ac:dyDescent="0.25">
      <c r="B243" s="7">
        <v>244</v>
      </c>
      <c r="C243" s="7" t="s">
        <v>63</v>
      </c>
      <c r="D243" s="7" t="s">
        <v>274</v>
      </c>
    </row>
    <row r="244" spans="2:4" x14ac:dyDescent="0.25">
      <c r="B244" s="7">
        <v>245</v>
      </c>
      <c r="C244" s="7" t="s">
        <v>63</v>
      </c>
      <c r="D244" s="7" t="s">
        <v>275</v>
      </c>
    </row>
    <row r="245" spans="2:4" x14ac:dyDescent="0.25">
      <c r="B245" s="7">
        <v>246</v>
      </c>
      <c r="C245" s="7" t="s">
        <v>63</v>
      </c>
      <c r="D245" s="7" t="s">
        <v>276</v>
      </c>
    </row>
    <row r="246" spans="2:4" x14ac:dyDescent="0.25">
      <c r="B246" s="7">
        <v>247</v>
      </c>
      <c r="C246" s="7" t="s">
        <v>64</v>
      </c>
      <c r="D246" s="7" t="s">
        <v>277</v>
      </c>
    </row>
    <row r="247" spans="2:4" x14ac:dyDescent="0.25">
      <c r="B247" s="7">
        <v>248</v>
      </c>
      <c r="C247" s="7" t="s">
        <v>64</v>
      </c>
      <c r="D247" s="7" t="s">
        <v>278</v>
      </c>
    </row>
    <row r="248" spans="2:4" x14ac:dyDescent="0.25">
      <c r="B248" s="7">
        <v>249</v>
      </c>
      <c r="C248" s="7" t="s">
        <v>64</v>
      </c>
      <c r="D248" s="7" t="s">
        <v>279</v>
      </c>
    </row>
    <row r="249" spans="2:4" x14ac:dyDescent="0.25">
      <c r="B249" s="7">
        <v>250</v>
      </c>
      <c r="C249" s="7" t="s">
        <v>64</v>
      </c>
      <c r="D249" s="7" t="s">
        <v>280</v>
      </c>
    </row>
    <row r="250" spans="2:4" x14ac:dyDescent="0.25">
      <c r="B250" s="7">
        <v>251</v>
      </c>
      <c r="C250" s="7" t="s">
        <v>64</v>
      </c>
      <c r="D250" s="7" t="s">
        <v>281</v>
      </c>
    </row>
    <row r="251" spans="2:4" x14ac:dyDescent="0.25">
      <c r="B251" s="7">
        <v>252</v>
      </c>
      <c r="C251" s="7" t="s">
        <v>64</v>
      </c>
      <c r="D251" s="7" t="s">
        <v>159</v>
      </c>
    </row>
    <row r="252" spans="2:4" x14ac:dyDescent="0.25">
      <c r="B252" s="7">
        <v>253</v>
      </c>
      <c r="C252" s="7" t="s">
        <v>64</v>
      </c>
      <c r="D252" s="7" t="s">
        <v>160</v>
      </c>
    </row>
    <row r="253" spans="2:4" x14ac:dyDescent="0.25">
      <c r="B253" s="7">
        <v>254</v>
      </c>
      <c r="C253" s="7" t="s">
        <v>63</v>
      </c>
      <c r="D253" s="7" t="s">
        <v>222</v>
      </c>
    </row>
    <row r="254" spans="2:4" x14ac:dyDescent="0.25">
      <c r="B254" s="7">
        <v>255</v>
      </c>
      <c r="C254" s="7" t="s">
        <v>63</v>
      </c>
      <c r="D254" s="7" t="s">
        <v>282</v>
      </c>
    </row>
    <row r="255" spans="2:4" x14ac:dyDescent="0.25">
      <c r="B255" s="7">
        <v>256</v>
      </c>
      <c r="D255" s="7"/>
    </row>
    <row r="256" spans="2:4" x14ac:dyDescent="0.25">
      <c r="B256" s="7">
        <v>257</v>
      </c>
      <c r="D256" s="7" t="s">
        <v>283</v>
      </c>
    </row>
    <row r="257" spans="2:4" x14ac:dyDescent="0.25">
      <c r="B257" s="7">
        <v>258</v>
      </c>
      <c r="C257" s="7" t="s">
        <v>65</v>
      </c>
      <c r="D257" s="7" t="s">
        <v>284</v>
      </c>
    </row>
    <row r="258" spans="2:4" x14ac:dyDescent="0.25">
      <c r="B258" s="7">
        <v>259</v>
      </c>
      <c r="C258" s="7" t="s">
        <v>63</v>
      </c>
      <c r="D258" s="7" t="s">
        <v>78</v>
      </c>
    </row>
    <row r="259" spans="2:4" x14ac:dyDescent="0.25">
      <c r="B259" s="7">
        <v>260</v>
      </c>
      <c r="C259" s="7" t="s">
        <v>63</v>
      </c>
      <c r="D259" s="7" t="s">
        <v>85</v>
      </c>
    </row>
    <row r="260" spans="2:4" x14ac:dyDescent="0.25">
      <c r="B260" s="7">
        <v>261</v>
      </c>
      <c r="C260" s="7" t="s">
        <v>63</v>
      </c>
      <c r="D260" s="7" t="s">
        <v>89</v>
      </c>
    </row>
    <row r="261" spans="2:4" x14ac:dyDescent="0.25">
      <c r="B261" s="7">
        <v>262</v>
      </c>
      <c r="C261" s="7" t="s">
        <v>63</v>
      </c>
      <c r="D261" s="7" t="s">
        <v>94</v>
      </c>
    </row>
    <row r="262" spans="2:4" x14ac:dyDescent="0.25">
      <c r="B262" s="7">
        <v>263</v>
      </c>
      <c r="C262" s="7" t="s">
        <v>65</v>
      </c>
      <c r="D262" s="7" t="s">
        <v>285</v>
      </c>
    </row>
    <row r="263" spans="2:4" x14ac:dyDescent="0.25">
      <c r="B263" s="7">
        <v>264</v>
      </c>
      <c r="C263" s="7" t="s">
        <v>63</v>
      </c>
      <c r="D263" s="7" t="s">
        <v>102</v>
      </c>
    </row>
    <row r="264" spans="2:4" x14ac:dyDescent="0.25">
      <c r="B264" s="7">
        <v>265</v>
      </c>
      <c r="C264" s="7" t="s">
        <v>63</v>
      </c>
      <c r="D264" s="7" t="s">
        <v>286</v>
      </c>
    </row>
    <row r="265" spans="2:4" x14ac:dyDescent="0.25">
      <c r="B265" s="7">
        <v>266</v>
      </c>
      <c r="C265" s="7" t="s">
        <v>63</v>
      </c>
      <c r="D265" s="7" t="s">
        <v>287</v>
      </c>
    </row>
    <row r="266" spans="2:4" x14ac:dyDescent="0.25">
      <c r="B266" s="7">
        <v>267</v>
      </c>
      <c r="C266" s="7" t="s">
        <v>63</v>
      </c>
      <c r="D266" s="7" t="s">
        <v>288</v>
      </c>
    </row>
    <row r="267" spans="2:4" x14ac:dyDescent="0.25">
      <c r="B267" s="7">
        <v>268</v>
      </c>
      <c r="C267" s="7" t="s">
        <v>63</v>
      </c>
      <c r="D267" s="7" t="s">
        <v>289</v>
      </c>
    </row>
    <row r="268" spans="2:4" x14ac:dyDescent="0.25">
      <c r="B268" s="7">
        <v>269</v>
      </c>
      <c r="C268" s="7" t="s">
        <v>63</v>
      </c>
      <c r="D268" s="7" t="s">
        <v>290</v>
      </c>
    </row>
    <row r="269" spans="2:4" x14ac:dyDescent="0.25">
      <c r="B269" s="7">
        <v>270</v>
      </c>
      <c r="C269" s="7" t="s">
        <v>63</v>
      </c>
      <c r="D269" s="7" t="s">
        <v>291</v>
      </c>
    </row>
    <row r="270" spans="2:4" x14ac:dyDescent="0.25">
      <c r="B270" s="7">
        <v>271</v>
      </c>
      <c r="C270" s="7" t="s">
        <v>63</v>
      </c>
      <c r="D270" s="7" t="s">
        <v>292</v>
      </c>
    </row>
    <row r="271" spans="2:4" x14ac:dyDescent="0.25">
      <c r="B271" s="7">
        <v>272</v>
      </c>
      <c r="C271" s="7" t="s">
        <v>63</v>
      </c>
      <c r="D271" s="7" t="s">
        <v>293</v>
      </c>
    </row>
    <row r="272" spans="2:4" x14ac:dyDescent="0.25">
      <c r="B272" s="7">
        <v>273</v>
      </c>
      <c r="C272" s="7" t="s">
        <v>63</v>
      </c>
      <c r="D272" s="7" t="s">
        <v>294</v>
      </c>
    </row>
    <row r="273" spans="2:4" x14ac:dyDescent="0.25">
      <c r="B273" s="7">
        <v>274</v>
      </c>
      <c r="C273" s="7" t="s">
        <v>63</v>
      </c>
      <c r="D273" s="7" t="s">
        <v>295</v>
      </c>
    </row>
    <row r="274" spans="2:4" x14ac:dyDescent="0.25">
      <c r="B274" s="7">
        <v>275</v>
      </c>
      <c r="C274" s="7" t="s">
        <v>63</v>
      </c>
      <c r="D274" s="7" t="s">
        <v>287</v>
      </c>
    </row>
    <row r="275" spans="2:4" x14ac:dyDescent="0.25">
      <c r="B275" s="7">
        <v>276</v>
      </c>
      <c r="C275" s="7" t="s">
        <v>63</v>
      </c>
      <c r="D275" s="7" t="s">
        <v>296</v>
      </c>
    </row>
    <row r="276" spans="2:4" x14ac:dyDescent="0.25">
      <c r="B276" s="7">
        <v>277</v>
      </c>
      <c r="C276" s="7" t="s">
        <v>63</v>
      </c>
      <c r="D276" s="7" t="s">
        <v>297</v>
      </c>
    </row>
    <row r="277" spans="2:4" x14ac:dyDescent="0.25">
      <c r="B277" s="7">
        <v>278</v>
      </c>
      <c r="C277" s="7" t="s">
        <v>63</v>
      </c>
      <c r="D277" s="7" t="s">
        <v>298</v>
      </c>
    </row>
    <row r="278" spans="2:4" x14ac:dyDescent="0.25">
      <c r="B278" s="7">
        <v>279</v>
      </c>
      <c r="C278" s="7" t="s">
        <v>65</v>
      </c>
      <c r="D278" s="7" t="s">
        <v>299</v>
      </c>
    </row>
    <row r="279" spans="2:4" x14ac:dyDescent="0.25">
      <c r="B279" s="7">
        <v>280</v>
      </c>
      <c r="C279" s="7" t="s">
        <v>65</v>
      </c>
      <c r="D279" s="7" t="s">
        <v>300</v>
      </c>
    </row>
    <row r="280" spans="2:4" x14ac:dyDescent="0.25">
      <c r="B280" s="7">
        <v>281</v>
      </c>
      <c r="C280" s="7" t="s">
        <v>65</v>
      </c>
      <c r="D280" s="7" t="s">
        <v>301</v>
      </c>
    </row>
    <row r="281" spans="2:4" x14ac:dyDescent="0.25">
      <c r="B281" s="7">
        <v>282</v>
      </c>
      <c r="C281" s="7" t="s">
        <v>65</v>
      </c>
      <c r="D281" s="7" t="s">
        <v>302</v>
      </c>
    </row>
    <row r="282" spans="2:4" x14ac:dyDescent="0.25">
      <c r="B282" s="7">
        <v>283</v>
      </c>
      <c r="C282" s="7" t="s">
        <v>65</v>
      </c>
      <c r="D282" s="7" t="s">
        <v>303</v>
      </c>
    </row>
    <row r="283" spans="2:4" x14ac:dyDescent="0.25">
      <c r="B283" s="7">
        <v>284</v>
      </c>
      <c r="C283" s="7" t="s">
        <v>65</v>
      </c>
      <c r="D283" s="7" t="s">
        <v>304</v>
      </c>
    </row>
    <row r="284" spans="2:4" x14ac:dyDescent="0.25">
      <c r="B284" s="7">
        <v>285</v>
      </c>
      <c r="C284" s="7" t="s">
        <v>65</v>
      </c>
      <c r="D284" s="7" t="s">
        <v>305</v>
      </c>
    </row>
    <row r="285" spans="2:4" x14ac:dyDescent="0.25">
      <c r="B285" s="7">
        <v>286</v>
      </c>
      <c r="C285" s="7" t="s">
        <v>65</v>
      </c>
      <c r="D285" s="7" t="s">
        <v>306</v>
      </c>
    </row>
    <row r="286" spans="2:4" x14ac:dyDescent="0.25">
      <c r="B286" s="7">
        <v>287</v>
      </c>
      <c r="C286" s="7" t="s">
        <v>65</v>
      </c>
      <c r="D286" s="7" t="s">
        <v>306</v>
      </c>
    </row>
    <row r="287" spans="2:4" x14ac:dyDescent="0.25">
      <c r="B287" s="7">
        <v>288</v>
      </c>
      <c r="C287" s="7" t="s">
        <v>65</v>
      </c>
      <c r="D287" s="7" t="s">
        <v>307</v>
      </c>
    </row>
    <row r="288" spans="2:4" x14ac:dyDescent="0.25">
      <c r="D288" s="7"/>
    </row>
    <row r="289" spans="4:4" x14ac:dyDescent="0.25">
      <c r="D289" s="7"/>
    </row>
    <row r="290" spans="4:4" x14ac:dyDescent="0.25">
      <c r="D290" s="7"/>
    </row>
    <row r="291" spans="4:4" x14ac:dyDescent="0.25">
      <c r="D291" s="7"/>
    </row>
    <row r="292" spans="4:4" x14ac:dyDescent="0.25">
      <c r="D292" s="7"/>
    </row>
    <row r="293" spans="4:4" x14ac:dyDescent="0.25">
      <c r="D293" s="7"/>
    </row>
    <row r="294" spans="4:4" x14ac:dyDescent="0.25">
      <c r="D294" s="7"/>
    </row>
    <row r="295" spans="4:4" x14ac:dyDescent="0.25">
      <c r="D295" s="7"/>
    </row>
    <row r="296" spans="4:4" x14ac:dyDescent="0.25">
      <c r="D296" s="7"/>
    </row>
    <row r="297" spans="4:4" x14ac:dyDescent="0.25">
      <c r="D297" s="7"/>
    </row>
    <row r="298" spans="4:4" x14ac:dyDescent="0.25">
      <c r="D298" s="7"/>
    </row>
    <row r="299" spans="4:4" x14ac:dyDescent="0.25">
      <c r="D299" s="7"/>
    </row>
    <row r="300" spans="4:4" x14ac:dyDescent="0.25">
      <c r="D300" s="7"/>
    </row>
    <row r="301" spans="4:4" x14ac:dyDescent="0.25">
      <c r="D301" s="7"/>
    </row>
    <row r="302" spans="4:4" x14ac:dyDescent="0.25">
      <c r="D302" s="7"/>
    </row>
    <row r="303" spans="4:4" x14ac:dyDescent="0.25">
      <c r="D303" s="7"/>
    </row>
    <row r="304" spans="4:4" x14ac:dyDescent="0.25">
      <c r="D304" s="7"/>
    </row>
    <row r="305" spans="4:4" x14ac:dyDescent="0.25">
      <c r="D305" s="7"/>
    </row>
    <row r="306" spans="4:4" x14ac:dyDescent="0.25">
      <c r="D306" s="7"/>
    </row>
    <row r="307" spans="4:4" x14ac:dyDescent="0.25">
      <c r="D307" s="7"/>
    </row>
    <row r="308" spans="4:4" x14ac:dyDescent="0.25">
      <c r="D308" s="7"/>
    </row>
    <row r="309" spans="4:4" x14ac:dyDescent="0.25">
      <c r="D309" s="7"/>
    </row>
    <row r="310" spans="4:4" x14ac:dyDescent="0.25">
      <c r="D310" s="7"/>
    </row>
    <row r="311" spans="4:4" x14ac:dyDescent="0.25">
      <c r="D311" s="7"/>
    </row>
    <row r="312" spans="4:4" x14ac:dyDescent="0.25">
      <c r="D312" s="7"/>
    </row>
    <row r="313" spans="4:4" x14ac:dyDescent="0.25">
      <c r="D313" s="7"/>
    </row>
    <row r="314" spans="4:4" x14ac:dyDescent="0.25">
      <c r="D314" s="7"/>
    </row>
    <row r="315" spans="4:4" x14ac:dyDescent="0.25">
      <c r="D315" s="7"/>
    </row>
    <row r="316" spans="4:4" x14ac:dyDescent="0.25">
      <c r="D316" s="7"/>
    </row>
    <row r="317" spans="4:4" x14ac:dyDescent="0.25">
      <c r="D317" s="7"/>
    </row>
    <row r="318" spans="4:4" x14ac:dyDescent="0.25">
      <c r="D318" s="7"/>
    </row>
    <row r="319" spans="4:4" x14ac:dyDescent="0.25">
      <c r="D319" s="7"/>
    </row>
    <row r="320" spans="4:4" x14ac:dyDescent="0.25">
      <c r="D320" s="7"/>
    </row>
    <row r="321" spans="4:4" x14ac:dyDescent="0.25">
      <c r="D321" s="7"/>
    </row>
    <row r="322" spans="4:4" x14ac:dyDescent="0.25">
      <c r="D322" s="7"/>
    </row>
    <row r="323" spans="4:4" x14ac:dyDescent="0.25">
      <c r="D323" s="7"/>
    </row>
    <row r="324" spans="4:4" x14ac:dyDescent="0.25">
      <c r="D324" s="7"/>
    </row>
    <row r="325" spans="4:4" x14ac:dyDescent="0.25">
      <c r="D325" s="7"/>
    </row>
    <row r="326" spans="4:4" x14ac:dyDescent="0.25">
      <c r="D326" s="7"/>
    </row>
    <row r="327" spans="4:4" x14ac:dyDescent="0.25">
      <c r="D327" s="7"/>
    </row>
    <row r="328" spans="4:4" x14ac:dyDescent="0.25">
      <c r="D328" s="7"/>
    </row>
    <row r="329" spans="4:4" x14ac:dyDescent="0.25">
      <c r="D329" s="7"/>
    </row>
    <row r="330" spans="4:4" x14ac:dyDescent="0.25">
      <c r="D330" s="7"/>
    </row>
    <row r="331" spans="4:4" x14ac:dyDescent="0.25">
      <c r="D331" s="7"/>
    </row>
    <row r="332" spans="4:4" x14ac:dyDescent="0.25">
      <c r="D332" s="7"/>
    </row>
    <row r="333" spans="4:4" x14ac:dyDescent="0.25">
      <c r="D333" s="7"/>
    </row>
    <row r="334" spans="4:4" x14ac:dyDescent="0.25">
      <c r="D334" s="7"/>
    </row>
    <row r="335" spans="4:4" x14ac:dyDescent="0.25">
      <c r="D335" s="7"/>
    </row>
    <row r="336" spans="4:4" x14ac:dyDescent="0.25">
      <c r="D336" s="7"/>
    </row>
    <row r="337" spans="4:4" x14ac:dyDescent="0.25">
      <c r="D337" s="7"/>
    </row>
    <row r="338" spans="4:4" x14ac:dyDescent="0.25">
      <c r="D338" s="7"/>
    </row>
    <row r="339" spans="4:4" x14ac:dyDescent="0.25">
      <c r="D339" s="7"/>
    </row>
    <row r="340" spans="4:4" x14ac:dyDescent="0.25">
      <c r="D340" s="7"/>
    </row>
    <row r="341" spans="4:4" x14ac:dyDescent="0.25">
      <c r="D341" s="7"/>
    </row>
    <row r="342" spans="4:4" x14ac:dyDescent="0.25">
      <c r="D342" s="7"/>
    </row>
    <row r="343" spans="4:4" x14ac:dyDescent="0.25">
      <c r="D343" s="7"/>
    </row>
    <row r="344" spans="4:4" x14ac:dyDescent="0.25">
      <c r="D344" s="7"/>
    </row>
    <row r="345" spans="4:4" x14ac:dyDescent="0.25">
      <c r="D345" s="7"/>
    </row>
    <row r="346" spans="4:4" x14ac:dyDescent="0.25">
      <c r="D346" s="7"/>
    </row>
    <row r="347" spans="4:4" x14ac:dyDescent="0.25">
      <c r="D347" s="7"/>
    </row>
    <row r="348" spans="4:4" x14ac:dyDescent="0.25">
      <c r="D348" s="7"/>
    </row>
    <row r="349" spans="4:4" x14ac:dyDescent="0.25">
      <c r="D349" s="7"/>
    </row>
    <row r="350" spans="4:4" x14ac:dyDescent="0.25">
      <c r="D350" s="7"/>
    </row>
    <row r="351" spans="4:4" x14ac:dyDescent="0.25">
      <c r="D351" s="7"/>
    </row>
    <row r="352" spans="4:4" x14ac:dyDescent="0.25">
      <c r="D352" s="7"/>
    </row>
    <row r="353" spans="4:4" x14ac:dyDescent="0.25">
      <c r="D353" s="7"/>
    </row>
    <row r="354" spans="4:4" x14ac:dyDescent="0.25">
      <c r="D354" s="7"/>
    </row>
    <row r="355" spans="4:4" x14ac:dyDescent="0.25">
      <c r="D355" s="7"/>
    </row>
    <row r="356" spans="4:4" x14ac:dyDescent="0.25">
      <c r="D356" s="7"/>
    </row>
    <row r="357" spans="4:4" x14ac:dyDescent="0.25">
      <c r="D357" s="7"/>
    </row>
    <row r="358" spans="4:4" x14ac:dyDescent="0.25">
      <c r="D358" s="7"/>
    </row>
    <row r="359" spans="4:4" x14ac:dyDescent="0.25">
      <c r="D359" s="7"/>
    </row>
    <row r="360" spans="4:4" x14ac:dyDescent="0.25">
      <c r="D360" s="7"/>
    </row>
    <row r="361" spans="4:4" x14ac:dyDescent="0.25">
      <c r="D361" s="7"/>
    </row>
    <row r="362" spans="4:4" x14ac:dyDescent="0.25">
      <c r="D362" s="7"/>
    </row>
    <row r="363" spans="4:4" x14ac:dyDescent="0.25">
      <c r="D363" s="7"/>
    </row>
    <row r="364" spans="4:4" x14ac:dyDescent="0.25">
      <c r="D364" s="7"/>
    </row>
    <row r="365" spans="4:4" x14ac:dyDescent="0.25">
      <c r="D365" s="7"/>
    </row>
    <row r="366" spans="4:4" x14ac:dyDescent="0.25">
      <c r="D366" s="7"/>
    </row>
    <row r="367" spans="4:4" x14ac:dyDescent="0.25">
      <c r="D367" s="7"/>
    </row>
    <row r="368" spans="4:4" x14ac:dyDescent="0.25">
      <c r="D368" s="7"/>
    </row>
    <row r="369" spans="4:4" x14ac:dyDescent="0.25">
      <c r="D369" s="7"/>
    </row>
    <row r="370" spans="4:4" x14ac:dyDescent="0.25">
      <c r="D370" s="7"/>
    </row>
    <row r="371" spans="4:4" x14ac:dyDescent="0.25">
      <c r="D371" s="7"/>
    </row>
    <row r="372" spans="4:4" x14ac:dyDescent="0.25">
      <c r="D372" s="7"/>
    </row>
    <row r="373" spans="4:4" x14ac:dyDescent="0.25">
      <c r="D373" s="7"/>
    </row>
    <row r="374" spans="4:4" x14ac:dyDescent="0.25">
      <c r="D374" s="7"/>
    </row>
    <row r="375" spans="4:4" x14ac:dyDescent="0.25">
      <c r="D375" s="7"/>
    </row>
    <row r="376" spans="4:4" x14ac:dyDescent="0.25">
      <c r="D376" s="7"/>
    </row>
    <row r="377" spans="4:4" x14ac:dyDescent="0.25">
      <c r="D377" s="7"/>
    </row>
    <row r="378" spans="4:4" x14ac:dyDescent="0.25">
      <c r="D378" s="7"/>
    </row>
    <row r="379" spans="4:4" x14ac:dyDescent="0.25">
      <c r="D379" s="7"/>
    </row>
    <row r="380" spans="4:4" x14ac:dyDescent="0.25">
      <c r="D380" s="7"/>
    </row>
    <row r="381" spans="4:4" x14ac:dyDescent="0.25">
      <c r="D381" s="7"/>
    </row>
    <row r="382" spans="4:4" x14ac:dyDescent="0.25">
      <c r="D382" s="7"/>
    </row>
    <row r="383" spans="4:4" x14ac:dyDescent="0.25">
      <c r="D383" s="7"/>
    </row>
    <row r="384" spans="4:4" x14ac:dyDescent="0.25">
      <c r="D384" s="7"/>
    </row>
    <row r="385" spans="4:4" x14ac:dyDescent="0.25">
      <c r="D385" s="7"/>
    </row>
    <row r="386" spans="4:4" x14ac:dyDescent="0.25">
      <c r="D386" s="7"/>
    </row>
    <row r="387" spans="4:4" x14ac:dyDescent="0.25">
      <c r="D387" s="7"/>
    </row>
    <row r="388" spans="4:4" x14ac:dyDescent="0.25">
      <c r="D388" s="7"/>
    </row>
    <row r="389" spans="4:4" x14ac:dyDescent="0.25">
      <c r="D389" s="7"/>
    </row>
    <row r="390" spans="4:4" x14ac:dyDescent="0.25">
      <c r="D390" s="7"/>
    </row>
    <row r="391" spans="4:4" x14ac:dyDescent="0.25">
      <c r="D391" s="7"/>
    </row>
    <row r="392" spans="4:4" x14ac:dyDescent="0.25">
      <c r="D392" s="7"/>
    </row>
    <row r="393" spans="4:4" x14ac:dyDescent="0.25">
      <c r="D393" s="7"/>
    </row>
    <row r="394" spans="4:4" x14ac:dyDescent="0.25">
      <c r="D394" s="7"/>
    </row>
    <row r="395" spans="4:4" x14ac:dyDescent="0.25">
      <c r="D395" s="7"/>
    </row>
    <row r="396" spans="4:4" x14ac:dyDescent="0.25">
      <c r="D396" s="7"/>
    </row>
    <row r="397" spans="4:4" x14ac:dyDescent="0.25">
      <c r="D397" s="7"/>
    </row>
    <row r="398" spans="4:4" x14ac:dyDescent="0.25">
      <c r="D398" s="7"/>
    </row>
    <row r="399" spans="4:4" x14ac:dyDescent="0.25">
      <c r="D399" s="7"/>
    </row>
    <row r="400" spans="4:4" x14ac:dyDescent="0.25">
      <c r="D400" s="7"/>
    </row>
    <row r="401" spans="4:4" x14ac:dyDescent="0.25">
      <c r="D401" s="7"/>
    </row>
    <row r="402" spans="4:4" x14ac:dyDescent="0.25">
      <c r="D402" s="7"/>
    </row>
    <row r="403" spans="4:4" x14ac:dyDescent="0.25">
      <c r="D403" s="7"/>
    </row>
    <row r="404" spans="4:4" x14ac:dyDescent="0.25">
      <c r="D404" s="7"/>
    </row>
    <row r="405" spans="4:4" x14ac:dyDescent="0.25">
      <c r="D405" s="7"/>
    </row>
    <row r="406" spans="4:4" x14ac:dyDescent="0.25">
      <c r="D406" s="7"/>
    </row>
    <row r="407" spans="4:4" x14ac:dyDescent="0.25">
      <c r="D407" s="7"/>
    </row>
    <row r="408" spans="4:4" x14ac:dyDescent="0.25">
      <c r="D408" s="7"/>
    </row>
    <row r="409" spans="4:4" x14ac:dyDescent="0.25">
      <c r="D409" s="7"/>
    </row>
    <row r="410" spans="4:4" x14ac:dyDescent="0.25">
      <c r="D410" s="7"/>
    </row>
    <row r="411" spans="4:4" x14ac:dyDescent="0.25">
      <c r="D411" s="7"/>
    </row>
    <row r="412" spans="4:4" x14ac:dyDescent="0.25">
      <c r="D412" s="7"/>
    </row>
    <row r="413" spans="4:4" x14ac:dyDescent="0.25">
      <c r="D413" s="7"/>
    </row>
    <row r="414" spans="4:4" x14ac:dyDescent="0.25">
      <c r="D414" s="7"/>
    </row>
    <row r="415" spans="4:4" x14ac:dyDescent="0.25">
      <c r="D415" s="7"/>
    </row>
    <row r="416" spans="4:4" x14ac:dyDescent="0.25">
      <c r="D416" s="7"/>
    </row>
    <row r="417" spans="4:4" x14ac:dyDescent="0.25">
      <c r="D417" s="7"/>
    </row>
    <row r="418" spans="4:4" x14ac:dyDescent="0.25">
      <c r="D418" s="7"/>
    </row>
    <row r="419" spans="4:4" x14ac:dyDescent="0.25">
      <c r="D419" s="7"/>
    </row>
    <row r="420" spans="4:4" x14ac:dyDescent="0.25">
      <c r="D420" s="7"/>
    </row>
    <row r="421" spans="4:4" x14ac:dyDescent="0.25">
      <c r="D421" s="7"/>
    </row>
    <row r="422" spans="4:4" x14ac:dyDescent="0.25">
      <c r="D422" s="7"/>
    </row>
    <row r="423" spans="4:4" x14ac:dyDescent="0.25">
      <c r="D423" s="7"/>
    </row>
    <row r="424" spans="4:4" x14ac:dyDescent="0.25">
      <c r="D424" s="7"/>
    </row>
    <row r="425" spans="4:4" x14ac:dyDescent="0.25">
      <c r="D425" s="7"/>
    </row>
    <row r="426" spans="4:4" x14ac:dyDescent="0.25">
      <c r="D426" s="7"/>
    </row>
    <row r="427" spans="4:4" x14ac:dyDescent="0.25">
      <c r="D427" s="7"/>
    </row>
    <row r="428" spans="4:4" x14ac:dyDescent="0.25">
      <c r="D428" s="7"/>
    </row>
    <row r="429" spans="4:4" x14ac:dyDescent="0.25">
      <c r="D429" s="7"/>
    </row>
    <row r="430" spans="4:4" x14ac:dyDescent="0.25">
      <c r="D430" s="7"/>
    </row>
    <row r="431" spans="4:4" x14ac:dyDescent="0.25">
      <c r="D431" s="7"/>
    </row>
    <row r="432" spans="4:4" x14ac:dyDescent="0.25">
      <c r="D432" s="7"/>
    </row>
    <row r="433" spans="4:4" x14ac:dyDescent="0.25">
      <c r="D433" s="7"/>
    </row>
    <row r="434" spans="4:4" x14ac:dyDescent="0.25">
      <c r="D434" s="7"/>
    </row>
    <row r="435" spans="4:4" x14ac:dyDescent="0.25">
      <c r="D435" s="7"/>
    </row>
    <row r="436" spans="4:4" x14ac:dyDescent="0.25">
      <c r="D436" s="7"/>
    </row>
    <row r="437" spans="4:4" x14ac:dyDescent="0.25">
      <c r="D437" s="7"/>
    </row>
    <row r="438" spans="4:4" x14ac:dyDescent="0.25">
      <c r="D438" s="7"/>
    </row>
    <row r="439" spans="4:4" x14ac:dyDescent="0.25">
      <c r="D439" s="7"/>
    </row>
    <row r="440" spans="4:4" x14ac:dyDescent="0.25">
      <c r="D440" s="7"/>
    </row>
    <row r="441" spans="4:4" x14ac:dyDescent="0.25">
      <c r="D441" s="7"/>
    </row>
    <row r="442" spans="4:4" x14ac:dyDescent="0.25">
      <c r="D442" s="7"/>
    </row>
    <row r="443" spans="4:4" x14ac:dyDescent="0.25">
      <c r="D443" s="7"/>
    </row>
    <row r="444" spans="4:4" x14ac:dyDescent="0.25">
      <c r="D444" s="7"/>
    </row>
    <row r="445" spans="4:4" x14ac:dyDescent="0.25">
      <c r="D445" s="7"/>
    </row>
    <row r="446" spans="4:4" x14ac:dyDescent="0.25">
      <c r="D446" s="7"/>
    </row>
    <row r="447" spans="4:4" x14ac:dyDescent="0.25">
      <c r="D447" s="7"/>
    </row>
    <row r="448" spans="4:4" x14ac:dyDescent="0.25">
      <c r="D448" s="7"/>
    </row>
    <row r="449" spans="4:4" x14ac:dyDescent="0.25">
      <c r="D449" s="7"/>
    </row>
    <row r="450" spans="4:4" x14ac:dyDescent="0.25">
      <c r="D450" s="7"/>
    </row>
    <row r="451" spans="4:4" x14ac:dyDescent="0.25">
      <c r="D451" s="7"/>
    </row>
    <row r="452" spans="4:4" x14ac:dyDescent="0.25">
      <c r="D452" s="7"/>
    </row>
    <row r="453" spans="4:4" x14ac:dyDescent="0.25">
      <c r="D453" s="7"/>
    </row>
    <row r="454" spans="4:4" x14ac:dyDescent="0.25">
      <c r="D454" s="7"/>
    </row>
    <row r="455" spans="4:4" x14ac:dyDescent="0.25">
      <c r="D455" s="7"/>
    </row>
    <row r="456" spans="4:4" x14ac:dyDescent="0.25">
      <c r="D456" s="7"/>
    </row>
    <row r="457" spans="4:4" x14ac:dyDescent="0.25">
      <c r="D457" s="7"/>
    </row>
    <row r="458" spans="4:4" x14ac:dyDescent="0.25">
      <c r="D458" s="7"/>
    </row>
    <row r="459" spans="4:4" x14ac:dyDescent="0.25">
      <c r="D459" s="7"/>
    </row>
    <row r="460" spans="4:4" x14ac:dyDescent="0.25">
      <c r="D460" s="7"/>
    </row>
    <row r="461" spans="4:4" x14ac:dyDescent="0.25">
      <c r="D461" s="7"/>
    </row>
    <row r="462" spans="4:4" x14ac:dyDescent="0.25">
      <c r="D462" s="7"/>
    </row>
    <row r="463" spans="4:4" x14ac:dyDescent="0.25">
      <c r="D463" s="7"/>
    </row>
    <row r="464" spans="4:4" x14ac:dyDescent="0.25">
      <c r="D464" s="7"/>
    </row>
    <row r="465" spans="4:4" x14ac:dyDescent="0.25">
      <c r="D465" s="7"/>
    </row>
    <row r="466" spans="4:4" x14ac:dyDescent="0.25">
      <c r="D466" s="7"/>
    </row>
    <row r="467" spans="4:4" x14ac:dyDescent="0.25">
      <c r="D467" s="7"/>
    </row>
    <row r="468" spans="4:4" x14ac:dyDescent="0.25">
      <c r="D468" s="7"/>
    </row>
    <row r="469" spans="4:4" x14ac:dyDescent="0.25">
      <c r="D469" s="7"/>
    </row>
    <row r="470" spans="4:4" x14ac:dyDescent="0.25">
      <c r="D470" s="7"/>
    </row>
    <row r="471" spans="4:4" x14ac:dyDescent="0.25">
      <c r="D471" s="7"/>
    </row>
    <row r="472" spans="4:4" x14ac:dyDescent="0.25">
      <c r="D472" s="7"/>
    </row>
    <row r="473" spans="4:4" x14ac:dyDescent="0.25">
      <c r="D473" s="7"/>
    </row>
    <row r="474" spans="4:4" x14ac:dyDescent="0.25">
      <c r="D474" s="7"/>
    </row>
    <row r="475" spans="4:4" x14ac:dyDescent="0.25">
      <c r="D475" s="7"/>
    </row>
    <row r="476" spans="4:4" x14ac:dyDescent="0.25">
      <c r="D476" s="7"/>
    </row>
    <row r="477" spans="4:4" x14ac:dyDescent="0.25">
      <c r="D477" s="7"/>
    </row>
    <row r="478" spans="4:4" x14ac:dyDescent="0.25">
      <c r="D478" s="7"/>
    </row>
    <row r="479" spans="4:4" x14ac:dyDescent="0.25">
      <c r="D479" s="7"/>
    </row>
    <row r="480" spans="4:4" x14ac:dyDescent="0.25">
      <c r="D480" s="7"/>
    </row>
    <row r="481" spans="4:4" x14ac:dyDescent="0.25">
      <c r="D481" s="7"/>
    </row>
    <row r="482" spans="4:4" x14ac:dyDescent="0.25">
      <c r="D482" s="7"/>
    </row>
    <row r="483" spans="4:4" x14ac:dyDescent="0.25">
      <c r="D483" s="7"/>
    </row>
    <row r="484" spans="4:4" x14ac:dyDescent="0.25">
      <c r="D484" s="7"/>
    </row>
    <row r="485" spans="4:4" x14ac:dyDescent="0.25">
      <c r="D485" s="7"/>
    </row>
    <row r="486" spans="4:4" x14ac:dyDescent="0.25">
      <c r="D486" s="7"/>
    </row>
    <row r="487" spans="4:4" x14ac:dyDescent="0.25">
      <c r="D487" s="7"/>
    </row>
    <row r="488" spans="4:4" x14ac:dyDescent="0.25">
      <c r="D488" s="7"/>
    </row>
    <row r="489" spans="4:4" x14ac:dyDescent="0.25">
      <c r="D489" s="7"/>
    </row>
    <row r="490" spans="4:4" x14ac:dyDescent="0.25">
      <c r="D490" s="7"/>
    </row>
    <row r="491" spans="4:4" x14ac:dyDescent="0.25">
      <c r="D491" s="7"/>
    </row>
    <row r="492" spans="4:4" x14ac:dyDescent="0.25">
      <c r="D492" s="7"/>
    </row>
    <row r="493" spans="4:4" x14ac:dyDescent="0.25">
      <c r="D493" s="7"/>
    </row>
    <row r="494" spans="4:4" x14ac:dyDescent="0.25">
      <c r="D494" s="7"/>
    </row>
    <row r="495" spans="4:4" x14ac:dyDescent="0.25">
      <c r="D495" s="7"/>
    </row>
    <row r="496" spans="4:4" x14ac:dyDescent="0.25">
      <c r="D496" s="7"/>
    </row>
    <row r="497" spans="4:4" x14ac:dyDescent="0.25">
      <c r="D497" s="7"/>
    </row>
    <row r="498" spans="4:4" x14ac:dyDescent="0.25">
      <c r="D498" s="7"/>
    </row>
    <row r="499" spans="4:4" x14ac:dyDescent="0.25">
      <c r="D499" s="7"/>
    </row>
    <row r="500" spans="4:4" x14ac:dyDescent="0.25">
      <c r="D500" s="7"/>
    </row>
    <row r="501" spans="4:4" x14ac:dyDescent="0.25">
      <c r="D501" s="7"/>
    </row>
    <row r="502" spans="4:4" x14ac:dyDescent="0.25">
      <c r="D502" s="7"/>
    </row>
    <row r="503" spans="4:4" x14ac:dyDescent="0.25">
      <c r="D503" s="7"/>
    </row>
    <row r="504" spans="4:4" x14ac:dyDescent="0.25">
      <c r="D504" s="7"/>
    </row>
    <row r="505" spans="4:4" x14ac:dyDescent="0.25">
      <c r="D505" s="7"/>
    </row>
    <row r="506" spans="4:4" x14ac:dyDescent="0.25">
      <c r="D506" s="7"/>
    </row>
    <row r="507" spans="4:4" x14ac:dyDescent="0.25">
      <c r="D507" s="7"/>
    </row>
    <row r="508" spans="4:4" x14ac:dyDescent="0.25">
      <c r="D508" s="7"/>
    </row>
    <row r="509" spans="4:4" x14ac:dyDescent="0.25">
      <c r="D509" s="7"/>
    </row>
    <row r="510" spans="4:4" x14ac:dyDescent="0.25">
      <c r="D510" s="7"/>
    </row>
    <row r="511" spans="4:4" x14ac:dyDescent="0.25">
      <c r="D511" s="7"/>
    </row>
    <row r="512" spans="4:4" x14ac:dyDescent="0.25">
      <c r="D512" s="7"/>
    </row>
    <row r="513" spans="4:4" x14ac:dyDescent="0.25">
      <c r="D513" s="7"/>
    </row>
  </sheetData>
  <conditionalFormatting sqref="M2:M1048576">
    <cfRule type="containsText" dxfId="197" priority="139" operator="containsText" text="Complete">
      <formula>NOT(ISERROR(SEARCH("Complete",M2)))</formula>
    </cfRule>
    <cfRule type="containsText" dxfId="196" priority="140" operator="containsText" text="InProgress">
      <formula>NOT(ISERROR(SEARCH("InProgress",M2)))</formula>
    </cfRule>
    <cfRule type="containsText" dxfId="195" priority="141" operator="containsText" text="Undone">
      <formula>NOT(ISERROR(SEARCH("Undone",M2)))</formula>
    </cfRule>
  </conditionalFormatting>
  <conditionalFormatting sqref="P2:P1048576">
    <cfRule type="containsText" dxfId="194" priority="136" operator="containsText" text="No">
      <formula>NOT(ISERROR(SEARCH("No",P2)))</formula>
    </cfRule>
    <cfRule type="containsText" dxfId="193" priority="137" operator="containsText" text="Yes">
      <formula>NOT(ISERROR(SEARCH("Yes",P2)))</formula>
    </cfRule>
    <cfRule type="containsText" dxfId="192" priority="138" operator="containsText" text="Yes">
      <formula>NOT(ISERROR(SEARCH("Yes",P2)))</formula>
    </cfRule>
  </conditionalFormatting>
  <conditionalFormatting sqref="C225">
    <cfRule type="containsText" dxfId="191" priority="124" operator="containsText" text="Complete">
      <formula>NOT(ISERROR(SEARCH("Complete",C225)))</formula>
    </cfRule>
    <cfRule type="containsText" dxfId="190" priority="125" operator="containsText" text="InProgress">
      <formula>NOT(ISERROR(SEARCH("InProgress",C225)))</formula>
    </cfRule>
    <cfRule type="containsText" dxfId="189" priority="126" operator="containsText" text="Undone">
      <formula>NOT(ISERROR(SEARCH("Undone",C225)))</formula>
    </cfRule>
  </conditionalFormatting>
  <conditionalFormatting sqref="C224">
    <cfRule type="containsText" dxfId="188" priority="121" operator="containsText" text="Complete">
      <formula>NOT(ISERROR(SEARCH("Complete",C224)))</formula>
    </cfRule>
    <cfRule type="containsText" dxfId="187" priority="122" operator="containsText" text="InProgress">
      <formula>NOT(ISERROR(SEARCH("InProgress",C224)))</formula>
    </cfRule>
    <cfRule type="containsText" dxfId="186" priority="123" operator="containsText" text="Undone">
      <formula>NOT(ISERROR(SEARCH("Undone",C224)))</formula>
    </cfRule>
  </conditionalFormatting>
  <conditionalFormatting sqref="C223">
    <cfRule type="containsText" dxfId="185" priority="118" operator="containsText" text="Complete">
      <formula>NOT(ISERROR(SEARCH("Complete",C223)))</formula>
    </cfRule>
    <cfRule type="containsText" dxfId="184" priority="119" operator="containsText" text="InProgress">
      <formula>NOT(ISERROR(SEARCH("InProgress",C223)))</formula>
    </cfRule>
    <cfRule type="containsText" dxfId="183" priority="120" operator="containsText" text="Undone">
      <formula>NOT(ISERROR(SEARCH("Undone",C223)))</formula>
    </cfRule>
  </conditionalFormatting>
  <conditionalFormatting sqref="C222">
    <cfRule type="containsText" dxfId="182" priority="115" operator="containsText" text="Complete">
      <formula>NOT(ISERROR(SEARCH("Complete",C222)))</formula>
    </cfRule>
    <cfRule type="containsText" dxfId="181" priority="116" operator="containsText" text="InProgress">
      <formula>NOT(ISERROR(SEARCH("InProgress",C222)))</formula>
    </cfRule>
    <cfRule type="containsText" dxfId="180" priority="117" operator="containsText" text="Undone">
      <formula>NOT(ISERROR(SEARCH("Undone",C222)))</formula>
    </cfRule>
  </conditionalFormatting>
  <conditionalFormatting sqref="C221">
    <cfRule type="containsText" dxfId="179" priority="112" operator="containsText" text="Complete">
      <formula>NOT(ISERROR(SEARCH("Complete",C221)))</formula>
    </cfRule>
    <cfRule type="containsText" dxfId="178" priority="113" operator="containsText" text="InProgress">
      <formula>NOT(ISERROR(SEARCH("InProgress",C221)))</formula>
    </cfRule>
    <cfRule type="containsText" dxfId="177" priority="114" operator="containsText" text="Undone">
      <formula>NOT(ISERROR(SEARCH("Undone",C221)))</formula>
    </cfRule>
  </conditionalFormatting>
  <conditionalFormatting sqref="C220">
    <cfRule type="containsText" dxfId="176" priority="109" operator="containsText" text="Complete">
      <formula>NOT(ISERROR(SEARCH("Complete",C220)))</formula>
    </cfRule>
    <cfRule type="containsText" dxfId="175" priority="110" operator="containsText" text="InProgress">
      <formula>NOT(ISERROR(SEARCH("InProgress",C220)))</formula>
    </cfRule>
    <cfRule type="containsText" dxfId="174" priority="111" operator="containsText" text="Undone">
      <formula>NOT(ISERROR(SEARCH("Undone",C220)))</formula>
    </cfRule>
  </conditionalFormatting>
  <conditionalFormatting sqref="C219">
    <cfRule type="containsText" dxfId="173" priority="106" operator="containsText" text="Complete">
      <formula>NOT(ISERROR(SEARCH("Complete",C219)))</formula>
    </cfRule>
    <cfRule type="containsText" dxfId="172" priority="107" operator="containsText" text="InProgress">
      <formula>NOT(ISERROR(SEARCH("InProgress",C219)))</formula>
    </cfRule>
    <cfRule type="containsText" dxfId="171" priority="108" operator="containsText" text="Undone">
      <formula>NOT(ISERROR(SEARCH("Undone",C219)))</formula>
    </cfRule>
  </conditionalFormatting>
  <conditionalFormatting sqref="C218">
    <cfRule type="containsText" dxfId="170" priority="103" operator="containsText" text="Complete">
      <formula>NOT(ISERROR(SEARCH("Complete",C218)))</formula>
    </cfRule>
    <cfRule type="containsText" dxfId="169" priority="104" operator="containsText" text="InProgress">
      <formula>NOT(ISERROR(SEARCH("InProgress",C218)))</formula>
    </cfRule>
    <cfRule type="containsText" dxfId="168" priority="105" operator="containsText" text="Undone">
      <formula>NOT(ISERROR(SEARCH("Undone",C218)))</formula>
    </cfRule>
  </conditionalFormatting>
  <conditionalFormatting sqref="C217">
    <cfRule type="containsText" dxfId="167" priority="100" operator="containsText" text="Complete">
      <formula>NOT(ISERROR(SEARCH("Complete",C217)))</formula>
    </cfRule>
    <cfRule type="containsText" dxfId="166" priority="101" operator="containsText" text="InProgress">
      <formula>NOT(ISERROR(SEARCH("InProgress",C217)))</formula>
    </cfRule>
    <cfRule type="containsText" dxfId="165" priority="102" operator="containsText" text="Undone">
      <formula>NOT(ISERROR(SEARCH("Undone",C217)))</formula>
    </cfRule>
  </conditionalFormatting>
  <conditionalFormatting sqref="C216">
    <cfRule type="containsText" dxfId="164" priority="97" operator="containsText" text="Complete">
      <formula>NOT(ISERROR(SEARCH("Complete",C216)))</formula>
    </cfRule>
    <cfRule type="containsText" dxfId="163" priority="98" operator="containsText" text="InProgress">
      <formula>NOT(ISERROR(SEARCH("InProgress",C216)))</formula>
    </cfRule>
    <cfRule type="containsText" dxfId="162" priority="99" operator="containsText" text="Undone">
      <formula>NOT(ISERROR(SEARCH("Undone",C216)))</formula>
    </cfRule>
  </conditionalFormatting>
  <conditionalFormatting sqref="C215">
    <cfRule type="containsText" dxfId="161" priority="94" operator="containsText" text="Complete">
      <formula>NOT(ISERROR(SEARCH("Complete",C215)))</formula>
    </cfRule>
    <cfRule type="containsText" dxfId="160" priority="95" operator="containsText" text="InProgress">
      <formula>NOT(ISERROR(SEARCH("InProgress",C215)))</formula>
    </cfRule>
    <cfRule type="containsText" dxfId="159" priority="96" operator="containsText" text="Undone">
      <formula>NOT(ISERROR(SEARCH("Undone",C215)))</formula>
    </cfRule>
  </conditionalFormatting>
  <conditionalFormatting sqref="C214">
    <cfRule type="containsText" dxfId="158" priority="91" operator="containsText" text="Complete">
      <formula>NOT(ISERROR(SEARCH("Complete",C214)))</formula>
    </cfRule>
    <cfRule type="containsText" dxfId="157" priority="92" operator="containsText" text="InProgress">
      <formula>NOT(ISERROR(SEARCH("InProgress",C214)))</formula>
    </cfRule>
    <cfRule type="containsText" dxfId="156" priority="93" operator="containsText" text="Undone">
      <formula>NOT(ISERROR(SEARCH("Undone",C214)))</formula>
    </cfRule>
  </conditionalFormatting>
  <conditionalFormatting sqref="C213">
    <cfRule type="containsText" dxfId="155" priority="88" operator="containsText" text="Complete">
      <formula>NOT(ISERROR(SEARCH("Complete",C213)))</formula>
    </cfRule>
    <cfRule type="containsText" dxfId="154" priority="89" operator="containsText" text="InProgress">
      <formula>NOT(ISERROR(SEARCH("InProgress",C213)))</formula>
    </cfRule>
    <cfRule type="containsText" dxfId="153" priority="90" operator="containsText" text="Undone">
      <formula>NOT(ISERROR(SEARCH("Undone",C213)))</formula>
    </cfRule>
  </conditionalFormatting>
  <conditionalFormatting sqref="C212">
    <cfRule type="containsText" dxfId="152" priority="85" operator="containsText" text="Complete">
      <formula>NOT(ISERROR(SEARCH("Complete",C212)))</formula>
    </cfRule>
    <cfRule type="containsText" dxfId="151" priority="86" operator="containsText" text="InProgress">
      <formula>NOT(ISERROR(SEARCH("InProgress",C212)))</formula>
    </cfRule>
    <cfRule type="containsText" dxfId="150" priority="87" operator="containsText" text="Undone">
      <formula>NOT(ISERROR(SEARCH("Undone",C212)))</formula>
    </cfRule>
  </conditionalFormatting>
  <conditionalFormatting sqref="C211">
    <cfRule type="containsText" dxfId="149" priority="82" operator="containsText" text="Complete">
      <formula>NOT(ISERROR(SEARCH("Complete",C211)))</formula>
    </cfRule>
    <cfRule type="containsText" dxfId="148" priority="83" operator="containsText" text="InProgress">
      <formula>NOT(ISERROR(SEARCH("InProgress",C211)))</formula>
    </cfRule>
    <cfRule type="containsText" dxfId="147" priority="84" operator="containsText" text="Undone">
      <formula>NOT(ISERROR(SEARCH("Undone",C211)))</formula>
    </cfRule>
  </conditionalFormatting>
  <conditionalFormatting sqref="C210">
    <cfRule type="containsText" dxfId="146" priority="79" operator="containsText" text="Complete">
      <formula>NOT(ISERROR(SEARCH("Complete",C210)))</formula>
    </cfRule>
    <cfRule type="containsText" dxfId="145" priority="80" operator="containsText" text="InProgress">
      <formula>NOT(ISERROR(SEARCH("InProgress",C210)))</formula>
    </cfRule>
    <cfRule type="containsText" dxfId="144" priority="81" operator="containsText" text="Undone">
      <formula>NOT(ISERROR(SEARCH("Undone",C210)))</formula>
    </cfRule>
  </conditionalFormatting>
  <conditionalFormatting sqref="C209">
    <cfRule type="containsText" dxfId="143" priority="76" operator="containsText" text="Complete">
      <formula>NOT(ISERROR(SEARCH("Complete",C209)))</formula>
    </cfRule>
    <cfRule type="containsText" dxfId="142" priority="77" operator="containsText" text="InProgress">
      <formula>NOT(ISERROR(SEARCH("InProgress",C209)))</formula>
    </cfRule>
    <cfRule type="containsText" dxfId="141" priority="78" operator="containsText" text="Undone">
      <formula>NOT(ISERROR(SEARCH("Undone",C209)))</formula>
    </cfRule>
  </conditionalFormatting>
  <conditionalFormatting sqref="C208">
    <cfRule type="containsText" dxfId="140" priority="73" operator="containsText" text="Complete">
      <formula>NOT(ISERROR(SEARCH("Complete",C208)))</formula>
    </cfRule>
    <cfRule type="containsText" dxfId="139" priority="74" operator="containsText" text="InProgress">
      <formula>NOT(ISERROR(SEARCH("InProgress",C208)))</formula>
    </cfRule>
    <cfRule type="containsText" dxfId="138" priority="75" operator="containsText" text="Undone">
      <formula>NOT(ISERROR(SEARCH("Undone",C208)))</formula>
    </cfRule>
  </conditionalFormatting>
  <conditionalFormatting sqref="C207">
    <cfRule type="containsText" dxfId="137" priority="70" operator="containsText" text="Complete">
      <formula>NOT(ISERROR(SEARCH("Complete",C207)))</formula>
    </cfRule>
    <cfRule type="containsText" dxfId="136" priority="71" operator="containsText" text="InProgress">
      <formula>NOT(ISERROR(SEARCH("InProgress",C207)))</formula>
    </cfRule>
    <cfRule type="containsText" dxfId="135" priority="72" operator="containsText" text="Undone">
      <formula>NOT(ISERROR(SEARCH("Undone",C207)))</formula>
    </cfRule>
  </conditionalFormatting>
  <conditionalFormatting sqref="C206">
    <cfRule type="containsText" dxfId="134" priority="67" operator="containsText" text="Complete">
      <formula>NOT(ISERROR(SEARCH("Complete",C206)))</formula>
    </cfRule>
    <cfRule type="containsText" dxfId="133" priority="68" operator="containsText" text="InProgress">
      <formula>NOT(ISERROR(SEARCH("InProgress",C206)))</formula>
    </cfRule>
    <cfRule type="containsText" dxfId="132" priority="69" operator="containsText" text="Undone">
      <formula>NOT(ISERROR(SEARCH("Undone",C206)))</formula>
    </cfRule>
  </conditionalFormatting>
  <conditionalFormatting sqref="C205">
    <cfRule type="containsText" dxfId="131" priority="64" operator="containsText" text="Complete">
      <formula>NOT(ISERROR(SEARCH("Complete",C205)))</formula>
    </cfRule>
    <cfRule type="containsText" dxfId="130" priority="65" operator="containsText" text="InProgress">
      <formula>NOT(ISERROR(SEARCH("InProgress",C205)))</formula>
    </cfRule>
    <cfRule type="containsText" dxfId="129" priority="66" operator="containsText" text="Undone">
      <formula>NOT(ISERROR(SEARCH("Undone",C205)))</formula>
    </cfRule>
  </conditionalFormatting>
  <conditionalFormatting sqref="C204">
    <cfRule type="containsText" dxfId="128" priority="61" operator="containsText" text="Complete">
      <formula>NOT(ISERROR(SEARCH("Complete",C204)))</formula>
    </cfRule>
    <cfRule type="containsText" dxfId="127" priority="62" operator="containsText" text="InProgress">
      <formula>NOT(ISERROR(SEARCH("InProgress",C204)))</formula>
    </cfRule>
    <cfRule type="containsText" dxfId="126" priority="63" operator="containsText" text="Undone">
      <formula>NOT(ISERROR(SEARCH("Undone",C204)))</formula>
    </cfRule>
  </conditionalFormatting>
  <conditionalFormatting sqref="C203">
    <cfRule type="containsText" dxfId="125" priority="58" operator="containsText" text="Complete">
      <formula>NOT(ISERROR(SEARCH("Complete",C203)))</formula>
    </cfRule>
    <cfRule type="containsText" dxfId="124" priority="59" operator="containsText" text="InProgress">
      <formula>NOT(ISERROR(SEARCH("InProgress",C203)))</formula>
    </cfRule>
    <cfRule type="containsText" dxfId="123" priority="60" operator="containsText" text="Undone">
      <formula>NOT(ISERROR(SEARCH("Undone",C203)))</formula>
    </cfRule>
  </conditionalFormatting>
  <conditionalFormatting sqref="C202">
    <cfRule type="containsText" dxfId="122" priority="55" operator="containsText" text="Complete">
      <formula>NOT(ISERROR(SEARCH("Complete",C202)))</formula>
    </cfRule>
    <cfRule type="containsText" dxfId="121" priority="56" operator="containsText" text="InProgress">
      <formula>NOT(ISERROR(SEARCH("InProgress",C202)))</formula>
    </cfRule>
    <cfRule type="containsText" dxfId="120" priority="57" operator="containsText" text="Undone">
      <formula>NOT(ISERROR(SEARCH("Undone",C202)))</formula>
    </cfRule>
  </conditionalFormatting>
  <conditionalFormatting sqref="C201">
    <cfRule type="containsText" dxfId="119" priority="52" operator="containsText" text="Complete">
      <formula>NOT(ISERROR(SEARCH("Complete",C201)))</formula>
    </cfRule>
    <cfRule type="containsText" dxfId="118" priority="53" operator="containsText" text="InProgress">
      <formula>NOT(ISERROR(SEARCH("InProgress",C201)))</formula>
    </cfRule>
    <cfRule type="containsText" dxfId="117" priority="54" operator="containsText" text="Undone">
      <formula>NOT(ISERROR(SEARCH("Undone",C201)))</formula>
    </cfRule>
  </conditionalFormatting>
  <conditionalFormatting sqref="C200">
    <cfRule type="containsText" dxfId="116" priority="49" operator="containsText" text="Complete">
      <formula>NOT(ISERROR(SEARCH("Complete",C200)))</formula>
    </cfRule>
    <cfRule type="containsText" dxfId="115" priority="50" operator="containsText" text="InProgress">
      <formula>NOT(ISERROR(SEARCH("InProgress",C200)))</formula>
    </cfRule>
    <cfRule type="containsText" dxfId="114" priority="51" operator="containsText" text="Undone">
      <formula>NOT(ISERROR(SEARCH("Undone",C200)))</formula>
    </cfRule>
  </conditionalFormatting>
  <conditionalFormatting sqref="C199">
    <cfRule type="containsText" dxfId="113" priority="46" operator="containsText" text="Complete">
      <formula>NOT(ISERROR(SEARCH("Complete",C199)))</formula>
    </cfRule>
    <cfRule type="containsText" dxfId="112" priority="47" operator="containsText" text="InProgress">
      <formula>NOT(ISERROR(SEARCH("InProgress",C199)))</formula>
    </cfRule>
    <cfRule type="containsText" dxfId="111" priority="48" operator="containsText" text="Undone">
      <formula>NOT(ISERROR(SEARCH("Undone",C199)))</formula>
    </cfRule>
  </conditionalFormatting>
  <conditionalFormatting sqref="C198">
    <cfRule type="containsText" dxfId="110" priority="43" operator="containsText" text="Complete">
      <formula>NOT(ISERROR(SEARCH("Complete",C198)))</formula>
    </cfRule>
    <cfRule type="containsText" dxfId="109" priority="44" operator="containsText" text="InProgress">
      <formula>NOT(ISERROR(SEARCH("InProgress",C198)))</formula>
    </cfRule>
    <cfRule type="containsText" dxfId="108" priority="45" operator="containsText" text="Undone">
      <formula>NOT(ISERROR(SEARCH("Undone",C198)))</formula>
    </cfRule>
  </conditionalFormatting>
  <conditionalFormatting sqref="C197">
    <cfRule type="containsText" dxfId="107" priority="40" operator="containsText" text="Complete">
      <formula>NOT(ISERROR(SEARCH("Complete",C197)))</formula>
    </cfRule>
    <cfRule type="containsText" dxfId="106" priority="41" operator="containsText" text="InProgress">
      <formula>NOT(ISERROR(SEARCH("InProgress",C197)))</formula>
    </cfRule>
    <cfRule type="containsText" dxfId="105" priority="42" operator="containsText" text="Undone">
      <formula>NOT(ISERROR(SEARCH("Undone",C197)))</formula>
    </cfRule>
  </conditionalFormatting>
  <conditionalFormatting sqref="C196">
    <cfRule type="containsText" dxfId="104" priority="37" operator="containsText" text="Complete">
      <formula>NOT(ISERROR(SEARCH("Complete",C196)))</formula>
    </cfRule>
    <cfRule type="containsText" dxfId="103" priority="38" operator="containsText" text="InProgress">
      <formula>NOT(ISERROR(SEARCH("InProgress",C196)))</formula>
    </cfRule>
    <cfRule type="containsText" dxfId="102" priority="39" operator="containsText" text="Undone">
      <formula>NOT(ISERROR(SEARCH("Undone",C196)))</formula>
    </cfRule>
  </conditionalFormatting>
  <conditionalFormatting sqref="C195">
    <cfRule type="containsText" dxfId="101" priority="34" operator="containsText" text="Complete">
      <formula>NOT(ISERROR(SEARCH("Complete",C195)))</formula>
    </cfRule>
    <cfRule type="containsText" dxfId="100" priority="35" operator="containsText" text="InProgress">
      <formula>NOT(ISERROR(SEARCH("InProgress",C195)))</formula>
    </cfRule>
    <cfRule type="containsText" dxfId="99" priority="36" operator="containsText" text="Undone">
      <formula>NOT(ISERROR(SEARCH("Undone",C195)))</formula>
    </cfRule>
  </conditionalFormatting>
  <conditionalFormatting sqref="C194">
    <cfRule type="containsText" dxfId="98" priority="31" operator="containsText" text="Complete">
      <formula>NOT(ISERROR(SEARCH("Complete",C194)))</formula>
    </cfRule>
    <cfRule type="containsText" dxfId="97" priority="32" operator="containsText" text="InProgress">
      <formula>NOT(ISERROR(SEARCH("InProgress",C194)))</formula>
    </cfRule>
    <cfRule type="containsText" dxfId="96" priority="33" operator="containsText" text="Undone">
      <formula>NOT(ISERROR(SEARCH("Undone",C194)))</formula>
    </cfRule>
  </conditionalFormatting>
  <conditionalFormatting sqref="C193">
    <cfRule type="containsText" dxfId="95" priority="28" operator="containsText" text="Complete">
      <formula>NOT(ISERROR(SEARCH("Complete",C193)))</formula>
    </cfRule>
    <cfRule type="containsText" dxfId="94" priority="29" operator="containsText" text="InProgress">
      <formula>NOT(ISERROR(SEARCH("InProgress",C193)))</formula>
    </cfRule>
    <cfRule type="containsText" dxfId="93" priority="30" operator="containsText" text="Undone">
      <formula>NOT(ISERROR(SEARCH("Undone",C193)))</formula>
    </cfRule>
  </conditionalFormatting>
  <conditionalFormatting sqref="C192">
    <cfRule type="containsText" dxfId="92" priority="25" operator="containsText" text="Complete">
      <formula>NOT(ISERROR(SEARCH("Complete",C192)))</formula>
    </cfRule>
    <cfRule type="containsText" dxfId="91" priority="26" operator="containsText" text="InProgress">
      <formula>NOT(ISERROR(SEARCH("InProgress",C192)))</formula>
    </cfRule>
    <cfRule type="containsText" dxfId="90" priority="27" operator="containsText" text="Undone">
      <formula>NOT(ISERROR(SEARCH("Undone",C192)))</formula>
    </cfRule>
  </conditionalFormatting>
  <conditionalFormatting sqref="C191">
    <cfRule type="containsText" dxfId="89" priority="22" operator="containsText" text="Complete">
      <formula>NOT(ISERROR(SEARCH("Complete",C191)))</formula>
    </cfRule>
    <cfRule type="containsText" dxfId="88" priority="23" operator="containsText" text="InProgress">
      <formula>NOT(ISERROR(SEARCH("InProgress",C191)))</formula>
    </cfRule>
    <cfRule type="containsText" dxfId="87" priority="24" operator="containsText" text="Undone">
      <formula>NOT(ISERROR(SEARCH("Undone",C191)))</formula>
    </cfRule>
  </conditionalFormatting>
  <conditionalFormatting sqref="C190">
    <cfRule type="containsText" dxfId="86" priority="19" operator="containsText" text="Complete">
      <formula>NOT(ISERROR(SEARCH("Complete",C190)))</formula>
    </cfRule>
    <cfRule type="containsText" dxfId="85" priority="20" operator="containsText" text="InProgress">
      <formula>NOT(ISERROR(SEARCH("InProgress",C190)))</formula>
    </cfRule>
    <cfRule type="containsText" dxfId="84" priority="21" operator="containsText" text="Undone">
      <formula>NOT(ISERROR(SEARCH("Undone",C190)))</formula>
    </cfRule>
  </conditionalFormatting>
  <conditionalFormatting sqref="C189">
    <cfRule type="containsText" dxfId="83" priority="16" operator="containsText" text="Complete">
      <formula>NOT(ISERROR(SEARCH("Complete",C189)))</formula>
    </cfRule>
    <cfRule type="containsText" dxfId="82" priority="17" operator="containsText" text="InProgress">
      <formula>NOT(ISERROR(SEARCH("InProgress",C189)))</formula>
    </cfRule>
    <cfRule type="containsText" dxfId="81" priority="18" operator="containsText" text="Undone">
      <formula>NOT(ISERROR(SEARCH("Undone",C189)))</formula>
    </cfRule>
  </conditionalFormatting>
  <conditionalFormatting sqref="C188">
    <cfRule type="containsText" dxfId="80" priority="13" operator="containsText" text="Complete">
      <formula>NOT(ISERROR(SEARCH("Complete",C188)))</formula>
    </cfRule>
    <cfRule type="containsText" dxfId="79" priority="14" operator="containsText" text="InProgress">
      <formula>NOT(ISERROR(SEARCH("InProgress",C188)))</formula>
    </cfRule>
    <cfRule type="containsText" dxfId="78" priority="15" operator="containsText" text="Undone">
      <formula>NOT(ISERROR(SEARCH("Undone",C188)))</formula>
    </cfRule>
  </conditionalFormatting>
  <conditionalFormatting sqref="C187">
    <cfRule type="containsText" dxfId="77" priority="10" operator="containsText" text="Complete">
      <formula>NOT(ISERROR(SEARCH("Complete",C187)))</formula>
    </cfRule>
    <cfRule type="containsText" dxfId="76" priority="11" operator="containsText" text="InProgress">
      <formula>NOT(ISERROR(SEARCH("InProgress",C187)))</formula>
    </cfRule>
    <cfRule type="containsText" dxfId="75" priority="12" operator="containsText" text="Undone">
      <formula>NOT(ISERROR(SEARCH("Undone",C187)))</formula>
    </cfRule>
  </conditionalFormatting>
  <conditionalFormatting sqref="C186">
    <cfRule type="containsText" dxfId="74" priority="1" operator="containsText" text="Complete">
      <formula>NOT(ISERROR(SEARCH("Complete",C186)))</formula>
    </cfRule>
    <cfRule type="containsText" dxfId="73" priority="2" operator="containsText" text="InProgress">
      <formula>NOT(ISERROR(SEARCH("InProgress",C186)))</formula>
    </cfRule>
    <cfRule type="containsText" dxfId="72" priority="3" operator="containsText" text="Undone">
      <formula>NOT(ISERROR(SEARCH("Undone",C186)))</formula>
    </cfRule>
  </conditionalFormatting>
  <dataValidations count="3">
    <dataValidation type="list" allowBlank="1" showInputMessage="1" showErrorMessage="1" sqref="O1:O2 O4:O6 O9:O1048576 N1:N1048576" xr:uid="{282FDE92-A9AF-4AB6-BD31-6F3463188129}">
      <formula1>INDIRECT($M1)</formula1>
    </dataValidation>
    <dataValidation type="list" allowBlank="1" showInputMessage="1" showErrorMessage="1" sqref="O8" xr:uid="{5523995F-2DF0-422C-ABC1-C9BE74979CE3}">
      <formula1>INDIRECT($M7)</formula1>
    </dataValidation>
    <dataValidation type="list" allowBlank="1" showInputMessage="1" showErrorMessage="1" sqref="M2:M1048576" xr:uid="{0F2CFE1A-7DF7-468B-A34B-B76DC69C8995}">
      <formula1>$U$4:$W$4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947D8C1-5D75-427C-B82C-3126D4A9B8B0}">
          <x14:formula1>
            <xm:f>Piping_Summary!$B$5:$B$6</xm:f>
          </x14:formula1>
          <xm:sqref>P1:P1048576</xm:sqref>
        </x14:dataValidation>
        <x14:dataValidation type="list" allowBlank="1" showInputMessage="1" showErrorMessage="1" xr:uid="{9F0FB73C-9ED9-48C6-941A-26F2EA3BFBF0}">
          <x14:formula1>
            <xm:f>Piping_Summary!$F$4:$F$10</xm:f>
          </x14:formula1>
          <xm:sqref>C2:C1048576</xm:sqref>
        </x14:dataValidation>
        <x14:dataValidation type="list" allowBlank="1" showInputMessage="1" showErrorMessage="1" xr:uid="{6FFC905E-2DCB-4D85-A0A2-EE90FE435E51}">
          <x14:formula1>
            <xm:f>Piping_Summary!$M$26:$M$31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633DA-E089-4988-9067-BDFA6DB1C296}">
  <sheetPr codeName="Sheet3"/>
  <dimension ref="B3:R34"/>
  <sheetViews>
    <sheetView zoomScale="70" zoomScaleNormal="70" workbookViewId="0">
      <selection activeCell="J23" sqref="J23"/>
    </sheetView>
  </sheetViews>
  <sheetFormatPr defaultColWidth="9.28515625" defaultRowHeight="15" x14ac:dyDescent="0.25"/>
  <cols>
    <col min="1" max="1" width="9.140625"/>
    <col min="2" max="2" width="16.140625" bestFit="1" customWidth="1"/>
    <col min="3" max="3" width="8.5703125" bestFit="1" customWidth="1"/>
    <col min="4" max="4" width="8.42578125" bestFit="1" customWidth="1"/>
    <col min="5" max="5" width="12" bestFit="1" customWidth="1"/>
    <col min="6" max="6" width="24.42578125" bestFit="1" customWidth="1"/>
    <col min="7" max="7" width="11.7109375" bestFit="1" customWidth="1"/>
    <col min="8" max="8" width="13.42578125" bestFit="1" customWidth="1"/>
    <col min="9" max="10" width="13.42578125" customWidth="1"/>
    <col min="11" max="12" width="9.42578125" customWidth="1"/>
    <col min="13" max="13" width="10.42578125" bestFit="1" customWidth="1"/>
    <col min="14" max="14" width="13.5703125" bestFit="1" customWidth="1"/>
    <col min="15" max="15" width="12" bestFit="1" customWidth="1"/>
    <col min="16" max="16" width="10.42578125" bestFit="1" customWidth="1"/>
    <col min="17" max="17" width="13.5703125" bestFit="1" customWidth="1"/>
    <col min="18" max="18" width="20.140625" bestFit="1" customWidth="1"/>
    <col min="20" max="20" width="13.5703125" bestFit="1" customWidth="1"/>
    <col min="21" max="21" width="20.140625" bestFit="1" customWidth="1"/>
  </cols>
  <sheetData>
    <row r="3" spans="2:18" x14ac:dyDescent="0.25">
      <c r="B3" s="20" t="s">
        <v>14</v>
      </c>
      <c r="F3" t="s">
        <v>62</v>
      </c>
      <c r="G3" t="s">
        <v>13</v>
      </c>
      <c r="H3" t="s">
        <v>8</v>
      </c>
      <c r="I3" t="s">
        <v>47</v>
      </c>
      <c r="J3" t="s">
        <v>58</v>
      </c>
      <c r="K3" t="s">
        <v>59</v>
      </c>
      <c r="M3" s="13" t="s">
        <v>6</v>
      </c>
      <c r="N3" s="13" t="s">
        <v>33</v>
      </c>
      <c r="O3" s="13" t="s">
        <v>7</v>
      </c>
      <c r="Q3" t="s">
        <v>33</v>
      </c>
      <c r="R3" t="s">
        <v>34</v>
      </c>
    </row>
    <row r="4" spans="2:18" x14ac:dyDescent="0.25">
      <c r="B4" s="13" t="s">
        <v>4</v>
      </c>
      <c r="C4" s="13" t="s">
        <v>12</v>
      </c>
      <c r="F4" s="13" t="s">
        <v>63</v>
      </c>
      <c r="G4">
        <f>COUNTIF(Piping_Data!C:C,Table1812[[#This Row],[Piping_Type]])</f>
        <v>168</v>
      </c>
      <c r="H4" s="19">
        <f>Table1812[[#This Row],[Count]]/(COUNTA(Piping_Data!C:C)-1)*100</f>
        <v>61.313868613138688</v>
      </c>
      <c r="I4" s="19">
        <f>COUNTIFS(Piping_Data!C:C,Table1812[[#This Row],[Piping_Type]],Piping_Data!M:M,"Complete")</f>
        <v>0</v>
      </c>
      <c r="J4" s="19">
        <f>SUMIFS(Piping_Data!G:G,Piping_Data!C:C,F4)</f>
        <v>0</v>
      </c>
      <c r="K4" s="19">
        <f>SUMIFS(Piping_Data!L:L,Piping_Data!C:C,F4,Piping_Data!M:M,"Complete")</f>
        <v>0</v>
      </c>
      <c r="M4">
        <v>0</v>
      </c>
      <c r="N4">
        <v>10</v>
      </c>
      <c r="O4">
        <v>100</v>
      </c>
      <c r="Q4" s="21">
        <v>10</v>
      </c>
      <c r="R4">
        <f>COUNTIF(Piping_Data!N:N,Table51014[[#This Row],[InProgress]])</f>
        <v>0</v>
      </c>
    </row>
    <row r="5" spans="2:18" x14ac:dyDescent="0.25">
      <c r="B5" t="s">
        <v>10</v>
      </c>
      <c r="C5" s="21" t="e">
        <f>COUNTIF(Piping_Data!P:P,"Yes")/(COUNTA(Piping_Data!P:P)-1)*100</f>
        <v>#DIV/0!</v>
      </c>
      <c r="F5" s="13" t="s">
        <v>64</v>
      </c>
      <c r="G5">
        <f>COUNTIF(Piping_Data!C:C,Table1812[[#This Row],[Piping_Type]])</f>
        <v>35</v>
      </c>
      <c r="H5" s="19">
        <f>Table1812[[#This Row],[Count]]/(COUNTA(Piping_Data!C:C)-1)*100</f>
        <v>12.773722627737227</v>
      </c>
      <c r="I5" s="19">
        <f>COUNTIFS(Piping_Data!C:C,Table1812[[#This Row],[Piping_Type]],Piping_Data!M:M,"Complete")</f>
        <v>0</v>
      </c>
      <c r="J5" s="19">
        <f>SUMIFS(Piping_Data!G:G,Piping_Data!C:C,F5)</f>
        <v>0</v>
      </c>
      <c r="K5" s="19">
        <f>SUMIFS(Piping_Data!L:L,Piping_Data!C:C,F5,Piping_Data!M:M,"Complete")</f>
        <v>0</v>
      </c>
      <c r="N5">
        <v>20</v>
      </c>
      <c r="Q5" s="21">
        <v>20</v>
      </c>
      <c r="R5">
        <f>COUNTIF(Piping_Data!N:N,Table51014[[#This Row],[InProgress]])</f>
        <v>0</v>
      </c>
    </row>
    <row r="6" spans="2:18" x14ac:dyDescent="0.25">
      <c r="B6" t="s">
        <v>11</v>
      </c>
      <c r="C6" s="21" t="e">
        <f>COUNTIF(Piping_Data!P:P,"No")/(COUNTA(Piping_Data!P:P)-1)*100</f>
        <v>#DIV/0!</v>
      </c>
      <c r="F6" s="13" t="s">
        <v>65</v>
      </c>
      <c r="G6">
        <f>COUNTIF(Piping_Data!C:C,Table1812[[#This Row],[Piping_Type]])</f>
        <v>50</v>
      </c>
      <c r="H6" s="19">
        <f>Table1812[[#This Row],[Count]]/(COUNTA(Piping_Data!C:C)-1)*100</f>
        <v>18.248175182481752</v>
      </c>
      <c r="I6" s="19">
        <f>COUNTIFS(Piping_Data!C:C,Table1812[[#This Row],[Piping_Type]],Piping_Data!M:M,"Complete")</f>
        <v>0</v>
      </c>
      <c r="J6" s="19">
        <f>SUMIFS(Piping_Data!G:G,Piping_Data!C:C,F6)</f>
        <v>0</v>
      </c>
      <c r="K6" s="19">
        <f>SUMIFS(Piping_Data!L:L,Piping_Data!C:C,F6,Piping_Data!M:M,"Complete")</f>
        <v>0</v>
      </c>
      <c r="N6">
        <v>30</v>
      </c>
      <c r="Q6" s="21">
        <v>30</v>
      </c>
      <c r="R6">
        <f>COUNTIF(Piping_Data!N:N,Table51014[[#This Row],[InProgress]])</f>
        <v>0</v>
      </c>
    </row>
    <row r="7" spans="2:18" x14ac:dyDescent="0.25">
      <c r="F7" s="13" t="s">
        <v>66</v>
      </c>
      <c r="G7">
        <f>COUNTIF(Piping_Data!C:C,Table1812[[#This Row],[Piping_Type]])</f>
        <v>17</v>
      </c>
      <c r="H7" s="19">
        <f>Table1812[[#This Row],[Count]]/(COUNTA(Piping_Data!C:C)-1)*100</f>
        <v>6.2043795620437958</v>
      </c>
      <c r="I7" s="19">
        <f>COUNTIFS(Piping_Data!C:C,Table1812[[#This Row],[Piping_Type]],Piping_Data!M:M,"Complete")</f>
        <v>0</v>
      </c>
      <c r="J7" s="19">
        <f>SUMIFS(Piping_Data!G:G,Piping_Data!C:C,F7)</f>
        <v>0</v>
      </c>
      <c r="K7" s="19">
        <f>SUMIFS(Piping_Data!L:L,Piping_Data!C:C,F7,Piping_Data!M:M,"Complete")</f>
        <v>0</v>
      </c>
      <c r="N7">
        <v>40</v>
      </c>
      <c r="Q7" s="21">
        <v>40</v>
      </c>
      <c r="R7">
        <f>COUNTIF(Piping_Data!N:N,Table51014[[#This Row],[InProgress]])</f>
        <v>0</v>
      </c>
    </row>
    <row r="8" spans="2:18" x14ac:dyDescent="0.25">
      <c r="F8" s="13" t="s">
        <v>67</v>
      </c>
      <c r="G8">
        <f>COUNTIF(Piping_Data!C:C,Table1812[[#This Row],[Piping_Type]])</f>
        <v>0</v>
      </c>
      <c r="H8" s="19">
        <f>Table1812[[#This Row],[Count]]/(COUNTA(Piping_Data!C:C)-1)*100</f>
        <v>0</v>
      </c>
      <c r="I8" s="19">
        <f>COUNTIFS(Piping_Data!C:C,Table1812[[#This Row],[Piping_Type]],Piping_Data!M:M,"Complete")</f>
        <v>0</v>
      </c>
      <c r="J8" s="19">
        <f>SUMIFS(Piping_Data!G:G,Piping_Data!C:C,F8)</f>
        <v>0</v>
      </c>
      <c r="K8" s="19">
        <f>SUMIFS(Piping_Data!L:L,Piping_Data!C:C,F8,Piping_Data!M:M,"Complete")</f>
        <v>0</v>
      </c>
      <c r="N8">
        <v>50</v>
      </c>
      <c r="Q8" s="21">
        <v>50</v>
      </c>
      <c r="R8">
        <f>COUNTIF(Piping_Data!N:N,Table51014[[#This Row],[InProgress]])</f>
        <v>0</v>
      </c>
    </row>
    <row r="9" spans="2:18" x14ac:dyDescent="0.25">
      <c r="B9" s="22"/>
      <c r="F9" s="13" t="s">
        <v>68</v>
      </c>
      <c r="G9">
        <f>COUNTIF(Piping_Data!C:C,Table1812[[#This Row],[Piping_Type]])</f>
        <v>0</v>
      </c>
      <c r="H9" s="19">
        <f>Table1812[[#This Row],[Count]]/(COUNTA(Piping_Data!C:C)-1)*100</f>
        <v>0</v>
      </c>
      <c r="I9" s="19">
        <f>COUNTIFS(Piping_Data!C:C,Table1812[[#This Row],[Piping_Type]],Piping_Data!M:M,"Complete")</f>
        <v>0</v>
      </c>
      <c r="J9" s="19">
        <f>SUMIFS(Piping_Data!G:G,Piping_Data!C:C,F9)</f>
        <v>0</v>
      </c>
      <c r="K9" s="19">
        <f>SUMIFS(Piping_Data!L:L,Piping_Data!C:C,F9,Piping_Data!M:M,"Complete")</f>
        <v>0</v>
      </c>
      <c r="N9">
        <v>60</v>
      </c>
      <c r="Q9" s="21">
        <v>60</v>
      </c>
      <c r="R9">
        <f>COUNTIF(Piping_Data!N:N,Table51014[[#This Row],[InProgress]])</f>
        <v>0</v>
      </c>
    </row>
    <row r="10" spans="2:18" x14ac:dyDescent="0.25">
      <c r="F10" s="13" t="s">
        <v>69</v>
      </c>
      <c r="G10">
        <f>COUNTIF(Piping_Data!C:C,Table1812[[#This Row],[Piping_Type]])</f>
        <v>4</v>
      </c>
      <c r="H10" s="19">
        <f>Table1812[[#This Row],[Count]]/(COUNTA(Piping_Data!C:C)-1)*100</f>
        <v>1.4598540145985401</v>
      </c>
      <c r="I10" s="19">
        <f>COUNTIFS(Piping_Data!C:C,Table1812[[#This Row],[Piping_Type]],Piping_Data!M:M,"Complete")</f>
        <v>0</v>
      </c>
      <c r="J10" s="19">
        <f>SUMIFS(Piping_Data!G:G,Piping_Data!C:C,F10)</f>
        <v>0</v>
      </c>
      <c r="K10" s="19">
        <f>SUMIFS(Piping_Data!L:L,Piping_Data!C:C,F10,Piping_Data!M:M,"Complete")</f>
        <v>0</v>
      </c>
      <c r="N10">
        <v>70</v>
      </c>
      <c r="Q10" s="21">
        <v>70</v>
      </c>
      <c r="R10">
        <f>COUNTIF(Piping_Data!N:N,Table51014[[#This Row],[InProgress]])</f>
        <v>0</v>
      </c>
    </row>
    <row r="11" spans="2:18" x14ac:dyDescent="0.25">
      <c r="F11" s="13" t="s">
        <v>9</v>
      </c>
      <c r="G11">
        <f>SUBTOTAL(109,Table1812[Count])</f>
        <v>274</v>
      </c>
      <c r="H11" s="19">
        <f>SUBTOTAL(109,Table1812[%_Progress])</f>
        <v>99.999999999999986</v>
      </c>
      <c r="I11" s="19">
        <f>SUBTOTAL(109,Table1812[Task_Completed])</f>
        <v>0</v>
      </c>
      <c r="J11" s="19">
        <f>SUBTOTAL(109,Table1812[hours_planned])</f>
        <v>0</v>
      </c>
      <c r="K11" s="19">
        <f>SUBTOTAL(109,Table1812[Hours_earned])</f>
        <v>0</v>
      </c>
      <c r="N11">
        <v>80</v>
      </c>
      <c r="Q11" s="21">
        <v>80</v>
      </c>
      <c r="R11">
        <f>COUNTIF(Piping_Data!N:N,Table51014[[#This Row],[InProgress]])</f>
        <v>0</v>
      </c>
    </row>
    <row r="12" spans="2:18" x14ac:dyDescent="0.25">
      <c r="G12">
        <f>Table1812[[#Totals],[Count]]</f>
        <v>274</v>
      </c>
      <c r="H12" s="19"/>
      <c r="I12" s="19">
        <f>Table1812[[#Totals],[Task_Completed]]</f>
        <v>0</v>
      </c>
      <c r="J12" s="19">
        <f>Table1812[[#Totals],[hours_planned]]</f>
        <v>0</v>
      </c>
      <c r="K12" s="19">
        <f>Table1812[[#Totals],[Hours_earned]]</f>
        <v>0</v>
      </c>
      <c r="N12">
        <v>90</v>
      </c>
      <c r="Q12" s="21">
        <v>90</v>
      </c>
      <c r="R12">
        <f>COUNTIF(Piping_Data!N:N,Table51014[[#This Row],[InProgress]])</f>
        <v>0</v>
      </c>
    </row>
    <row r="13" spans="2:18" x14ac:dyDescent="0.25">
      <c r="H13" s="19"/>
      <c r="I13" s="19"/>
      <c r="J13" s="19"/>
      <c r="M13" s="13" t="s">
        <v>13</v>
      </c>
    </row>
    <row r="14" spans="2:18" x14ac:dyDescent="0.25">
      <c r="H14" s="19"/>
      <c r="I14" s="19"/>
      <c r="J14" s="19"/>
      <c r="M14">
        <f>COUNTIF(Piping_Data!$M:$M,Table2913[[#Headers],[Undone]])</f>
        <v>11</v>
      </c>
      <c r="N14">
        <f>COUNTIF(Piping_Data!$M:$M,Table2913[[#Headers],[InProgress]])</f>
        <v>0</v>
      </c>
      <c r="O14">
        <f>COUNTIF(Piping_Data!$M:$M,Table2913[[#Headers],[Complete]])</f>
        <v>0</v>
      </c>
    </row>
    <row r="15" spans="2:18" x14ac:dyDescent="0.25">
      <c r="F15" s="13" t="s">
        <v>18</v>
      </c>
      <c r="H15" s="19"/>
      <c r="I15" s="19"/>
      <c r="J15" s="19"/>
      <c r="M15" s="13" t="s">
        <v>19</v>
      </c>
    </row>
    <row r="16" spans="2:18" x14ac:dyDescent="0.25">
      <c r="F16" s="23" t="e">
        <f>AVERAGE(Piping_Data!N:N)</f>
        <v>#DIV/0!</v>
      </c>
      <c r="H16" s="19"/>
      <c r="I16" s="19"/>
      <c r="J16" s="19"/>
      <c r="M16" s="21">
        <f>Table2913[[#Totals],[Undone]]/SUM(Table2913[#Totals])*100</f>
        <v>100</v>
      </c>
      <c r="N16" s="21">
        <f>Table2913[[#Totals],[InProgress]]/SUM(Table2913[#Totals])*100</f>
        <v>0</v>
      </c>
      <c r="O16" s="21">
        <f>Table2913[[#Totals],[Complete]]/SUM(Table2913[#Totals])*100</f>
        <v>0</v>
      </c>
    </row>
    <row r="17" spans="6:18" x14ac:dyDescent="0.25">
      <c r="F17" s="23" t="e">
        <f>100 - F16</f>
        <v>#DIV/0!</v>
      </c>
      <c r="G17" s="13"/>
      <c r="H17" s="13"/>
      <c r="I17" s="13"/>
      <c r="J17" s="13"/>
    </row>
    <row r="18" spans="6:18" x14ac:dyDescent="0.25">
      <c r="I18">
        <f>SUMIFS(Piping_Data!G:G,Piping_Data!D:D,Piping_Summary!F4)</f>
        <v>0</v>
      </c>
    </row>
    <row r="24" spans="6:18" x14ac:dyDescent="0.25">
      <c r="M24" s="22" t="s">
        <v>1</v>
      </c>
    </row>
    <row r="25" spans="6:18" x14ac:dyDescent="0.25">
      <c r="F25" t="str">
        <f ca="1">Piping_Data!V19 &amp; "/" &amp; Piping_Data!V20</f>
        <v>24/39</v>
      </c>
      <c r="M25" s="13" t="s">
        <v>1</v>
      </c>
      <c r="N25" s="13" t="s">
        <v>36</v>
      </c>
      <c r="O25" s="13" t="s">
        <v>32</v>
      </c>
      <c r="P25" s="13" t="s">
        <v>40</v>
      </c>
      <c r="Q25" s="13" t="s">
        <v>35</v>
      </c>
      <c r="R25" s="13" t="s">
        <v>39</v>
      </c>
    </row>
    <row r="26" spans="6:18" x14ac:dyDescent="0.25">
      <c r="M26" t="s">
        <v>70</v>
      </c>
      <c r="N26">
        <f>COUNTIF(Piping_Data!F:F,Owner[[#This Row],[Owner]])</f>
        <v>1</v>
      </c>
      <c r="O26">
        <f>COUNTIFS(Piping_Data!M:M,"Complete",Piping_Data!F:F,M26)</f>
        <v>0</v>
      </c>
      <c r="P26" s="24">
        <f>SUMIF(Piping_Data!F:F,M26,Piping_Data!L:L)</f>
        <v>0</v>
      </c>
      <c r="Q26">
        <f>SUMIF(Piping_Data!F:F,M26,Piping_Data!G:G)</f>
        <v>0</v>
      </c>
      <c r="R26" s="25" t="e">
        <f>Owner[[#This Row],[Hours_spent]]/Piping_Summary!$P$32</f>
        <v>#DIV/0!</v>
      </c>
    </row>
    <row r="27" spans="6:18" x14ac:dyDescent="0.25">
      <c r="M27" t="s">
        <v>60</v>
      </c>
      <c r="N27">
        <f>COUNTIF(Piping_Data!F:F,Owner[[#This Row],[Owner]])</f>
        <v>3</v>
      </c>
      <c r="O27">
        <f>COUNTIFS(Piping_Data!M:M,"Complete",Piping_Data!F:F,M27)</f>
        <v>0</v>
      </c>
      <c r="P27" s="24">
        <f>SUMIF(Piping_Data!F:F,M27,Piping_Data!L:L)</f>
        <v>0</v>
      </c>
      <c r="Q27">
        <f>SUMIF(Piping_Data!F:F,M27,Piping_Data!G:G)</f>
        <v>0</v>
      </c>
      <c r="R27" s="25" t="e">
        <f>Owner[[#This Row],[Hours_spent]]/Piping_Summary!$P$32</f>
        <v>#DIV/0!</v>
      </c>
    </row>
    <row r="28" spans="6:18" x14ac:dyDescent="0.25">
      <c r="F28" s="13"/>
      <c r="M28" t="s">
        <v>71</v>
      </c>
      <c r="N28">
        <f>COUNTIF(Piping_Data!F:F,Owner[[#This Row],[Owner]])</f>
        <v>31</v>
      </c>
      <c r="O28">
        <f>COUNTIFS(Piping_Data!M:M,"Complete",Piping_Data!F:F,M28)</f>
        <v>0</v>
      </c>
      <c r="P28" s="24">
        <f>SUMIF(Piping_Data!F:F,M28,Piping_Data!L:L)</f>
        <v>0</v>
      </c>
      <c r="Q28">
        <f>SUMIF(Piping_Data!F:F,M28,Piping_Data!G:G)</f>
        <v>0</v>
      </c>
      <c r="R28" s="25" t="e">
        <f>Owner[[#This Row],[Hours_spent]]/Piping_Summary!$P$32</f>
        <v>#DIV/0!</v>
      </c>
    </row>
    <row r="29" spans="6:18" x14ac:dyDescent="0.25">
      <c r="M29" t="s">
        <v>72</v>
      </c>
      <c r="N29">
        <f>COUNTIF(Piping_Data!F:F,Owner[[#This Row],[Owner]])</f>
        <v>18</v>
      </c>
      <c r="O29">
        <f>COUNTIFS(Piping_Data!M:M,"Complete",Piping_Data!F:F,M29)</f>
        <v>0</v>
      </c>
      <c r="P29" s="24">
        <f>SUMIF(Piping_Data!F:F,M29,Piping_Data!L:L)</f>
        <v>0</v>
      </c>
      <c r="Q29">
        <f>SUMIF(Piping_Data!F:F,M29,Piping_Data!G:G)</f>
        <v>0</v>
      </c>
      <c r="R29" s="25" t="e">
        <f>Owner[[#This Row],[Hours_spent]]/Piping_Summary!$P$32</f>
        <v>#DIV/0!</v>
      </c>
    </row>
    <row r="30" spans="6:18" x14ac:dyDescent="0.25">
      <c r="M30" t="s">
        <v>73</v>
      </c>
      <c r="N30">
        <f>COUNTIF(Piping_Data!F:F,Owner[[#This Row],[Owner]])</f>
        <v>43</v>
      </c>
      <c r="O30">
        <f>COUNTIFS(Piping_Data!M:M,"Complete",Piping_Data!F:F,M30)</f>
        <v>0</v>
      </c>
      <c r="P30" s="24">
        <f>SUMIF(Piping_Data!F:F,M30,Piping_Data!L:L)</f>
        <v>0</v>
      </c>
      <c r="Q30">
        <f>SUMIF(Piping_Data!F:F,M30,Piping_Data!G:G)</f>
        <v>0</v>
      </c>
      <c r="R30" s="25" t="e">
        <f>Owner[[#This Row],[Hours_spent]]/Piping_Summary!$P$32</f>
        <v>#DIV/0!</v>
      </c>
    </row>
    <row r="31" spans="6:18" x14ac:dyDescent="0.25">
      <c r="M31" t="s">
        <v>74</v>
      </c>
      <c r="N31">
        <f>COUNTIF(Piping_Data!F:F,Owner[[#This Row],[Owner]])</f>
        <v>1</v>
      </c>
      <c r="O31">
        <f>COUNTIFS(Piping_Data!M:M,"Complete",Piping_Data!F:F,M31)</f>
        <v>0</v>
      </c>
      <c r="P31" s="24">
        <f>SUMIF(Piping_Data!F:F,M31,Piping_Data!L:L)</f>
        <v>0</v>
      </c>
      <c r="Q31">
        <f>SUMIF(Piping_Data!F:F,M31,Piping_Data!G:G)</f>
        <v>0</v>
      </c>
      <c r="R31" s="25" t="e">
        <f>Owner[[#This Row],[Hours_spent]]/Piping_Summary!$P$32</f>
        <v>#DIV/0!</v>
      </c>
    </row>
    <row r="32" spans="6:18" x14ac:dyDescent="0.25">
      <c r="M32" t="s">
        <v>9</v>
      </c>
      <c r="N32">
        <f>SUBTOTAL(109,Owner[All_Task_Count])</f>
        <v>97</v>
      </c>
      <c r="O32">
        <f>SUBTOTAL(109,Owner[Task-Completed])</f>
        <v>0</v>
      </c>
      <c r="P32" s="19">
        <f>ROUND(SUBTOTAL(109,Owner[Hours_spent]),0)</f>
        <v>0</v>
      </c>
      <c r="Q32">
        <f>SUBTOTAL(109,Owner[Alloted_Time])</f>
        <v>0</v>
      </c>
      <c r="R32" s="25" t="e">
        <f>SUBTOTAL(109,Owner[% Contribution by Hours])</f>
        <v>#DIV/0!</v>
      </c>
    </row>
    <row r="33" spans="14:17" x14ac:dyDescent="0.25">
      <c r="N33">
        <f>SUM(Owner[All_Task_Count])</f>
        <v>97</v>
      </c>
      <c r="O33">
        <f>SUM(Owner[Task-Completed])</f>
        <v>0</v>
      </c>
      <c r="P33" t="str">
        <f>Owner[[#Totals],[Hours_spent]] &amp;" Hours"</f>
        <v>0 Hours</v>
      </c>
      <c r="Q33">
        <f>SUM(Owner[Alloted_Time])</f>
        <v>0</v>
      </c>
    </row>
    <row r="34" spans="14:17" x14ac:dyDescent="0.25">
      <c r="N34" t="s">
        <v>45</v>
      </c>
      <c r="O34" t="e">
        <f>ROUND((P32 - Q32)/Q32 *100, 0) &amp; "%"</f>
        <v>#DIV/0!</v>
      </c>
    </row>
  </sheetData>
  <sheetProtection algorithmName="SHA-512" hashValue="KEAq65RUBUSUNgf0axZFgsPqmaZjV8Q++inrhE6TI+po6e+YHk6R1OzHSetvTIc4bPaN0SDXaTfKVNkHVKIAnA==" saltValue="38+w0/npbbt0fF/N2cGE6g==" spinCount="100000" sheet="1" objects="1" scenarios="1"/>
  <phoneticPr fontId="4" type="noConversion"/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9B2D35CC-3006-4D47-8DA5-4F6D8C0792C4}">
          <x14:colorSeries theme="6" tint="-0.249977111117893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Piping_Summary!F16:F16</xm:f>
              <xm:sqref>F25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D49C-7185-4B08-8E22-2293A64C8FED}">
  <sheetPr codeName="Sheet6"/>
  <dimension ref="A2:J24"/>
  <sheetViews>
    <sheetView zoomScale="85" zoomScaleNormal="85" workbookViewId="0">
      <selection activeCell="D3" sqref="D3"/>
    </sheetView>
  </sheetViews>
  <sheetFormatPr defaultRowHeight="15" x14ac:dyDescent="0.25"/>
  <cols>
    <col min="1" max="1" width="17.5703125" bestFit="1" customWidth="1"/>
    <col min="2" max="2" width="24.85546875" bestFit="1" customWidth="1"/>
    <col min="3" max="3" width="14" customWidth="1"/>
    <col min="4" max="4" width="23.5703125" bestFit="1" customWidth="1"/>
    <col min="5" max="5" width="11.28515625" bestFit="1" customWidth="1"/>
    <col min="6" max="6" width="16.140625" customWidth="1"/>
    <col min="7" max="7" width="20.28515625" bestFit="1" customWidth="1"/>
    <col min="8" max="8" width="23.5703125" bestFit="1" customWidth="1"/>
    <col min="9" max="9" width="12.42578125" bestFit="1" customWidth="1"/>
    <col min="10" max="10" width="24.7109375" bestFit="1" customWidth="1"/>
    <col min="13" max="13" width="22.42578125" bestFit="1" customWidth="1"/>
    <col min="14" max="14" width="16.28515625" bestFit="1" customWidth="1"/>
    <col min="15" max="15" width="8.85546875" bestFit="1" customWidth="1"/>
    <col min="16" max="16" width="24.85546875" bestFit="1" customWidth="1"/>
    <col min="17" max="17" width="7.28515625" bestFit="1" customWidth="1"/>
    <col min="18" max="18" width="11.5703125" bestFit="1" customWidth="1"/>
    <col min="19" max="19" width="19.28515625" bestFit="1" customWidth="1"/>
    <col min="20" max="20" width="11.28515625" bestFit="1" customWidth="1"/>
    <col min="21" max="21" width="7.85546875" bestFit="1" customWidth="1"/>
    <col min="22" max="22" width="8.85546875" bestFit="1" customWidth="1"/>
    <col min="23" max="23" width="7.85546875" bestFit="1" customWidth="1"/>
    <col min="24" max="24" width="4.85546875" bestFit="1" customWidth="1"/>
    <col min="25" max="25" width="7.85546875" bestFit="1" customWidth="1"/>
    <col min="26" max="26" width="4.85546875" bestFit="1" customWidth="1"/>
    <col min="27" max="27" width="7.85546875" bestFit="1" customWidth="1"/>
    <col min="28" max="28" width="3" bestFit="1" customWidth="1"/>
    <col min="29" max="29" width="5.85546875" bestFit="1" customWidth="1"/>
    <col min="30" max="30" width="11.28515625" bestFit="1" customWidth="1"/>
  </cols>
  <sheetData>
    <row r="2" spans="1:10" ht="36" customHeight="1" x14ac:dyDescent="0.25">
      <c r="A2" s="5" t="s">
        <v>43</v>
      </c>
      <c r="B2">
        <f ca="1">COUNTIF(Table4[Days_Due],"&lt;4")</f>
        <v>0</v>
      </c>
      <c r="I2" t="s">
        <v>30</v>
      </c>
      <c r="J2" s="1">
        <f ca="1" xml:space="preserve"> TODAY()</f>
        <v>45138</v>
      </c>
    </row>
    <row r="3" spans="1:10" ht="30" x14ac:dyDescent="0.25">
      <c r="A3" s="5" t="s">
        <v>44</v>
      </c>
      <c r="B3">
        <f ca="1">COUNTIF(Table4[Days_Due],"&gt;3")</f>
        <v>0</v>
      </c>
    </row>
    <row r="5" spans="1:10" x14ac:dyDescent="0.25">
      <c r="A5" t="s">
        <v>27</v>
      </c>
      <c r="B5" t="s">
        <v>28</v>
      </c>
      <c r="C5" t="s">
        <v>29</v>
      </c>
      <c r="D5" t="s">
        <v>23</v>
      </c>
      <c r="E5" t="s">
        <v>2</v>
      </c>
      <c r="F5" t="s">
        <v>3</v>
      </c>
      <c r="G5" t="s">
        <v>21</v>
      </c>
      <c r="H5" s="1" t="s">
        <v>41</v>
      </c>
      <c r="I5" s="1" t="s">
        <v>42</v>
      </c>
    </row>
    <row r="6" spans="1:10" x14ac:dyDescent="0.25">
      <c r="A6" t="str">
        <f t="array" aca="1" ref="A6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6" t="str">
        <f t="array" aca="1" ref="B6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6" t="str">
        <f t="array" aca="1" ref="C6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6" t="str">
        <f t="array" aca="1" ref="D6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6" t="str">
        <f t="array" aca="1" ref="E6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6" t="str">
        <f t="array" aca="1" ref="F6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6" t="str">
        <f t="array" aca="1" ref="G6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6" s="1" t="str">
        <f t="array" aca="1" ref="H6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6" t="str">
        <f ca="1" xml:space="preserve"> IFERROR(NETWORKDAYS(Table4[[#This Row],[Expected_end_Date]],$J$2,Piping_Data!R6:R10),"")</f>
        <v/>
      </c>
    </row>
    <row r="7" spans="1:10" x14ac:dyDescent="0.25">
      <c r="A7" t="str">
        <f t="array" aca="1" ref="A7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7" t="str">
        <f t="array" aca="1" ref="B7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7" t="str">
        <f t="array" aca="1" ref="C7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7" t="str">
        <f t="array" aca="1" ref="D7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7" t="str">
        <f t="array" aca="1" ref="E7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7" t="str">
        <f t="array" aca="1" ref="F7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7" t="str">
        <f t="array" aca="1" ref="G7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7" s="1" t="str">
        <f t="array" aca="1" ref="H7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7" t="str">
        <f ca="1" xml:space="preserve"> IFERROR(NETWORKDAYS(Table4[[#This Row],[Expected_end_Date]],$J$2,Piping_Data!R7:R10),"")</f>
        <v/>
      </c>
    </row>
    <row r="8" spans="1:10" x14ac:dyDescent="0.25">
      <c r="A8" t="str">
        <f t="array" aca="1" ref="A8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8" t="str">
        <f t="array" aca="1" ref="B8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8" t="str">
        <f t="array" aca="1" ref="C8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8" t="str">
        <f t="array" aca="1" ref="D8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8" t="str">
        <f t="array" aca="1" ref="E8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8" t="str">
        <f t="array" aca="1" ref="F8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8" t="str">
        <f t="array" aca="1" ref="G8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8" s="1" t="str">
        <f t="array" aca="1" ref="H8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8" t="str">
        <f ca="1" xml:space="preserve"> IFERROR(NETWORKDAYS(Table4[[#This Row],[Expected_end_Date]],$J$2,Piping_Data!R8:R11),"")</f>
        <v/>
      </c>
    </row>
    <row r="9" spans="1:10" x14ac:dyDescent="0.25">
      <c r="A9" t="str">
        <f t="array" aca="1" ref="A9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9" t="str">
        <f t="array" aca="1" ref="B9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9" t="str">
        <f t="array" aca="1" ref="C9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9" t="str">
        <f t="array" aca="1" ref="D9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9" t="str">
        <f t="array" aca="1" ref="E9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9" t="str">
        <f t="array" aca="1" ref="F9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9" t="str">
        <f t="array" aca="1" ref="G9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9" s="1" t="str">
        <f t="array" aca="1" ref="H9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9" t="str">
        <f ca="1" xml:space="preserve"> IFERROR(NETWORKDAYS(Table4[[#This Row],[Expected_end_Date]],$J$2,Piping_Data!R9:R12),"")</f>
        <v/>
      </c>
    </row>
    <row r="10" spans="1:10" x14ac:dyDescent="0.25">
      <c r="A10" t="str">
        <f t="array" aca="1" ref="A10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0" t="str">
        <f t="array" aca="1" ref="B10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0" t="str">
        <f t="array" aca="1" ref="C10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0" t="str">
        <f t="array" aca="1" ref="D10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0" t="str">
        <f t="array" aca="1" ref="E10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0" t="str">
        <f t="array" aca="1" ref="F10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0" t="str">
        <f t="array" aca="1" ref="G10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0" s="1" t="str">
        <f t="array" aca="1" ref="H10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0" t="str">
        <f ca="1" xml:space="preserve"> IFERROR(NETWORKDAYS(Table4[[#This Row],[Expected_end_Date]],$J$2,Piping_Data!R10:R13),"")</f>
        <v/>
      </c>
    </row>
    <row r="11" spans="1:10" x14ac:dyDescent="0.25">
      <c r="A11" t="str">
        <f t="array" aca="1" ref="A11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1" t="str">
        <f t="array" aca="1" ref="B11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1" t="str">
        <f t="array" aca="1" ref="C11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1" t="str">
        <f t="array" aca="1" ref="D11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1" t="str">
        <f t="array" aca="1" ref="E11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1" t="str">
        <f t="array" aca="1" ref="F11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1" t="str">
        <f t="array" aca="1" ref="G11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1" s="1" t="str">
        <f t="array" aca="1" ref="H11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1" t="str">
        <f ca="1" xml:space="preserve"> IFERROR(NETWORKDAYS(Table4[[#This Row],[Expected_end_Date]],$J$2,Piping_Data!R11:R14),"")</f>
        <v/>
      </c>
    </row>
    <row r="12" spans="1:10" x14ac:dyDescent="0.25">
      <c r="A12" t="str">
        <f t="array" aca="1" ref="A12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2" t="str">
        <f t="array" aca="1" ref="B12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2" t="str">
        <f t="array" aca="1" ref="C12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2" t="str">
        <f t="array" aca="1" ref="D12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2" t="str">
        <f t="array" aca="1" ref="E12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2" t="str">
        <f t="array" aca="1" ref="F12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2" t="str">
        <f t="array" aca="1" ref="G12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2" s="1" t="str">
        <f t="array" aca="1" ref="H12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2" t="str">
        <f ca="1" xml:space="preserve"> IFERROR(NETWORKDAYS(Table4[[#This Row],[Expected_end_Date]],$J$2,Piping_Data!R11:R15),"")</f>
        <v/>
      </c>
    </row>
    <row r="13" spans="1:10" x14ac:dyDescent="0.25">
      <c r="A13" t="str">
        <f t="array" aca="1" ref="A13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3" t="str">
        <f t="array" aca="1" ref="B13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3" t="str">
        <f t="array" aca="1" ref="C13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3" t="str">
        <f t="array" aca="1" ref="D13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3" t="str">
        <f t="array" aca="1" ref="E13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3" t="str">
        <f t="array" aca="1" ref="F13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3" t="str">
        <f t="array" aca="1" ref="G13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3" s="1" t="str">
        <f t="array" aca="1" ref="H13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3" t="str">
        <f ca="1" xml:space="preserve"> IFERROR(NETWORKDAYS(Table4[[#This Row],[Expected_end_Date]],$J$2,Piping_Data!R12:R16),"")</f>
        <v/>
      </c>
    </row>
    <row r="14" spans="1:10" x14ac:dyDescent="0.25">
      <c r="A14" t="str">
        <f t="array" aca="1" ref="A14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4" t="str">
        <f t="array" aca="1" ref="B14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4" t="str">
        <f t="array" aca="1" ref="C14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4" t="str">
        <f t="array" aca="1" ref="D14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4" t="str">
        <f t="array" aca="1" ref="E14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4" t="str">
        <f t="array" aca="1" ref="F14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4" t="str">
        <f t="array" aca="1" ref="G14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4" s="1" t="str">
        <f t="array" aca="1" ref="H14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4" t="str">
        <f ca="1" xml:space="preserve"> IFERROR(NETWORKDAYS(Table4[[#This Row],[Expected_end_Date]],$J$2,Piping_Data!R13:R17),"")</f>
        <v/>
      </c>
    </row>
    <row r="15" spans="1:10" x14ac:dyDescent="0.25">
      <c r="A15" t="str">
        <f t="array" aca="1" ref="A15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5" t="str">
        <f t="array" aca="1" ref="B15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5" t="str">
        <f t="array" aca="1" ref="C15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5" t="str">
        <f t="array" aca="1" ref="D15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5" t="str">
        <f t="array" aca="1" ref="E15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5" t="str">
        <f t="array" aca="1" ref="F15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5" t="str">
        <f t="array" aca="1" ref="G15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5" s="1" t="str">
        <f t="array" aca="1" ref="H15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5" t="str">
        <f ca="1" xml:space="preserve"> IFERROR(NETWORKDAYS(Table4[[#This Row],[Expected_end_Date]],$J$2,Piping_Data!R14:R18),"")</f>
        <v/>
      </c>
    </row>
    <row r="16" spans="1:10" x14ac:dyDescent="0.25">
      <c r="A16" t="str">
        <f t="array" aca="1" ref="A16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6" t="str">
        <f t="array" aca="1" ref="B16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6" t="str">
        <f t="array" aca="1" ref="C16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6" t="str">
        <f t="array" aca="1" ref="D16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6" t="str">
        <f t="array" aca="1" ref="E16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6" t="str">
        <f t="array" aca="1" ref="F16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6" t="str">
        <f t="array" aca="1" ref="G16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6" s="1" t="str">
        <f t="array" aca="1" ref="H16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6" t="str">
        <f ca="1" xml:space="preserve"> IFERROR(NETWORKDAYS(Table4[[#This Row],[Expected_end_Date]],$J$2,Piping_Data!R15:R19),"")</f>
        <v/>
      </c>
    </row>
    <row r="17" spans="1:9" x14ac:dyDescent="0.25">
      <c r="A17" t="str">
        <f t="array" aca="1" ref="A17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7" t="str">
        <f t="array" aca="1" ref="B17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7" t="str">
        <f t="array" aca="1" ref="C17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7" t="str">
        <f t="array" aca="1" ref="D17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7" t="str">
        <f t="array" aca="1" ref="E17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7" t="str">
        <f t="array" aca="1" ref="F17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7" t="str">
        <f t="array" aca="1" ref="G17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7" s="1" t="str">
        <f t="array" aca="1" ref="H17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7" t="str">
        <f ca="1" xml:space="preserve"> IFERROR(NETWORKDAYS(Table4[[#This Row],[Expected_end_Date]],$J$2,Piping_Data!R16:R20),"")</f>
        <v/>
      </c>
    </row>
    <row r="18" spans="1:9" x14ac:dyDescent="0.25">
      <c r="A18" t="str">
        <f t="array" aca="1" ref="A18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8" t="str">
        <f t="array" aca="1" ref="B18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8" t="str">
        <f t="array" aca="1" ref="C18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8" t="str">
        <f t="array" aca="1" ref="D18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8" t="str">
        <f t="array" aca="1" ref="E18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8" t="str">
        <f t="array" aca="1" ref="F18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8" t="str">
        <f t="array" aca="1" ref="G18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8" s="1" t="str">
        <f t="array" aca="1" ref="H18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8" t="str">
        <f ca="1" xml:space="preserve"> IFERROR(NETWORKDAYS(Table4[[#This Row],[Expected_end_Date]],$J$2,Piping_Data!R17:R21),"")</f>
        <v/>
      </c>
    </row>
    <row r="19" spans="1:9" x14ac:dyDescent="0.25">
      <c r="A19" t="str">
        <f t="array" aca="1" ref="A19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19" t="str">
        <f t="array" aca="1" ref="B19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19" t="str">
        <f t="array" aca="1" ref="C19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19" t="str">
        <f t="array" aca="1" ref="D19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19" t="str">
        <f t="array" aca="1" ref="E19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19" t="str">
        <f t="array" aca="1" ref="F19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19" t="str">
        <f t="array" aca="1" ref="G19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19" s="1" t="str">
        <f t="array" aca="1" ref="H19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19" t="str">
        <f ca="1" xml:space="preserve"> IFERROR(NETWORKDAYS(Table4[[#This Row],[Expected_end_Date]],$J$2,Piping_Data!R18:R22),"")</f>
        <v/>
      </c>
    </row>
    <row r="20" spans="1:9" x14ac:dyDescent="0.25">
      <c r="A20" t="str">
        <f t="array" aca="1" ref="A20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20" t="str">
        <f t="array" aca="1" ref="B20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20" t="str">
        <f t="array" aca="1" ref="C20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20" t="str">
        <f t="array" aca="1" ref="D20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20" t="str">
        <f t="array" aca="1" ref="E20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20" t="str">
        <f t="array" aca="1" ref="F20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20" t="str">
        <f t="array" aca="1" ref="G20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20" s="1" t="str">
        <f t="array" aca="1" ref="H20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20" t="str">
        <f ca="1" xml:space="preserve"> IFERROR(NETWORKDAYS(Table4[[#This Row],[Expected_end_Date]],$J$2,Piping_Data!R19:R23),"")</f>
        <v/>
      </c>
    </row>
    <row r="21" spans="1:9" x14ac:dyDescent="0.25">
      <c r="A21" t="str">
        <f t="array" aca="1" ref="A21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21" t="str">
        <f t="array" aca="1" ref="B21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21" t="str">
        <f t="array" aca="1" ref="C21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21" t="str">
        <f t="array" aca="1" ref="D21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21" t="str">
        <f t="array" aca="1" ref="E21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21" t="str">
        <f t="array" aca="1" ref="F21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21" t="str">
        <f t="array" aca="1" ref="G21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21" s="1" t="str">
        <f t="array" aca="1" ref="H21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21" t="str">
        <f ca="1" xml:space="preserve"> IFERROR(NETWORKDAYS(Table4[[#This Row],[Expected_end_Date]],$J$2,Piping_Data!R2:R6),"")</f>
        <v/>
      </c>
    </row>
    <row r="22" spans="1:9" x14ac:dyDescent="0.25">
      <c r="A22" t="str">
        <f t="array" aca="1" ref="A22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22" t="str">
        <f t="array" aca="1" ref="B22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22" t="str">
        <f t="array" aca="1" ref="C22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22" t="str">
        <f t="array" aca="1" ref="D22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22" t="str">
        <f t="array" aca="1" ref="E22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22" t="str">
        <f t="array" aca="1" ref="F22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22" t="str">
        <f t="array" aca="1" ref="G22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22" s="1" t="str">
        <f t="array" aca="1" ref="H22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22" t="str">
        <f ca="1" xml:space="preserve"> IFERROR(NETWORKDAYS(Table4[[#This Row],[Expected_end_Date]],$J$2,Piping_Data!R3:R7),"")</f>
        <v/>
      </c>
    </row>
    <row r="23" spans="1:9" x14ac:dyDescent="0.25">
      <c r="A23" t="str">
        <f t="array" aca="1" ref="A23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23" t="str">
        <f t="array" aca="1" ref="B23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23" t="str">
        <f t="array" aca="1" ref="C23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23" t="str">
        <f t="array" aca="1" ref="D23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23" t="str">
        <f t="array" aca="1" ref="E23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23" t="str">
        <f t="array" aca="1" ref="F23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23" t="str">
        <f t="array" aca="1" ref="G23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23" s="1" t="str">
        <f t="array" aca="1" ref="H23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23" t="str">
        <f ca="1" xml:space="preserve"> IFERROR(NETWORKDAYS(Table4[[#This Row],[Expected_end_Date]],$J$2,Piping_Data!R4:R8),"")</f>
        <v/>
      </c>
    </row>
    <row r="24" spans="1:9" x14ac:dyDescent="0.25">
      <c r="A24" t="str">
        <f t="array" aca="1" ref="A24" ca="1" xml:space="preserve"> IFERROR(INDEX(Piping_Data!$B$2:$B$49, SMALL(IF((Piping_Data!$K$2:$K$49 &lt;Upcoming_Deadline!$J$2)*(Piping_Data!$M$2:$M$49="InProgress"),ROW(Piping_Data!$B$2:$B$49) - ROW(Piping_Data!$B$2)+1),ROW() - ROW(Upcoming_Deadline!$A$6)+1)), "")</f>
        <v/>
      </c>
      <c r="B24" t="str">
        <f t="array" aca="1" ref="B24" ca="1" xml:space="preserve"> IFERROR(INDEX(Piping_Data!$D$2:$D$49, SMALL(IF((Piping_Data!$K$2:$K$49 &lt;(Upcoming_Deadline!$J$2)+1)*(Piping_Data!$M$2:$M$49="InProgress"),ROW(Piping_Data!$D$2:$D$49) - ROW(Piping_Data!$D$2)+1),ROW() - ROW(Upcoming_Deadline!$A$6)+1)), "")</f>
        <v/>
      </c>
      <c r="C24" t="str">
        <f t="array" aca="1" ref="C24" ca="1" xml:space="preserve"> IFERROR(INDEX(Piping_Data!$F$2:$F$49, SMALL(IF((Piping_Data!$K$2:$K$49 &lt;(Upcoming_Deadline!$J$2)+1)*(Piping_Data!$M$2:$M$49="InProgress"),ROW(Piping_Data!$F$2:$F$49) - ROW(Piping_Data!$F$2)+1),ROW() - ROW(Upcoming_Deadline!$A$6)+1)), "")</f>
        <v/>
      </c>
      <c r="D24" t="str">
        <f t="array" aca="1" ref="D24" ca="1" xml:space="preserve"> IFERROR(INDEX(Piping_Data!$J$2:$J$49, SMALL(IF((Piping_Data!$K$2:$K$49 &lt;(Upcoming_Deadline!$J$2)+1)*(Piping_Data!$M$2:$M$49="InProgress"),ROW(Piping_Data!$J$2:$J$49) - ROW(Piping_Data!$J$2)+1),ROW() - ROW(Upcoming_Deadline!$A$6)+1)), "")</f>
        <v/>
      </c>
      <c r="E24" t="str">
        <f t="array" aca="1" ref="E24" ca="1" xml:space="preserve"> IFERROR(INDEX(Piping_Data!$M$2:$M$49, SMALL(IF((Piping_Data!$K$2:$K$49 &lt;(Upcoming_Deadline!$J$2)+1)*(Piping_Data!$M$2:$M$49="InProgress"),ROW(Piping_Data!$M$2:$M$49) - ROW(Piping_Data!$M$2)+1),ROW() - ROW(Upcoming_Deadline!$A$6)+1)), "")</f>
        <v/>
      </c>
      <c r="F24" t="str">
        <f t="array" aca="1" ref="F24" ca="1" xml:space="preserve"> IFERROR(INDEX(Piping_Data!$N$2:$N$49, SMALL(IF((Piping_Data!$K$2:$K$49 &lt;(Upcoming_Deadline!$J$2)+1)*(Piping_Data!$M$2:$M$49="InProgress"),ROW(Piping_Data!$N$2:$N$49) - ROW(Piping_Data!$N$2)+1),ROW() - ROW(Upcoming_Deadline!$A$6)+1)), "")</f>
        <v/>
      </c>
      <c r="G24" t="str">
        <f t="array" aca="1" ref="G24" ca="1" xml:space="preserve"> IFERROR(INDEX(Piping_Data!$Q$2:$Q$49, SMALL(IF((Piping_Data!$K$2:$K$49&lt;(Upcoming_Deadline!$J$2)+1)*(Piping_Data!$M$2:$M$49="InProgress"),ROW(Piping_Data!$Q$2:$Q$49) - ROW(Piping_Data!$Q$2)+1),ROW() - ROW(Upcoming_Deadline!$A$6)+1)), "")</f>
        <v/>
      </c>
      <c r="H24" s="1" t="str">
        <f t="array" aca="1" ref="H24" ca="1" xml:space="preserve"> IFERROR(INDEX(Piping_Data!$K$2:$K$49, SMALL(IF((Piping_Data!$K$2:$K$49&lt;(Upcoming_Deadline!$J$2)+1)*(Piping_Data!$M$2:$M$49="InProgress"),ROW(Piping_Data!$K$2:$K$49) - ROW(Piping_Data!$K$2)+1),ROW() - ROW(Upcoming_Deadline!$A$6)+1)), "")</f>
        <v/>
      </c>
      <c r="I24" t="str">
        <f ca="1" xml:space="preserve"> IFERROR(NETWORKDAYS(Table4[[#This Row],[Expected_end_Date]],$J$2,Piping_Data!R5:R9),"")</f>
        <v/>
      </c>
    </row>
  </sheetData>
  <sheetProtection algorithmName="SHA-512" hashValue="0aEbt9Ou8Dgcv4Z7nItR1j4AVHlZREscJ62bTk62fxvtS5ny722Z78M5WEaLKcOGG/LE/l4S0i2RnMhnrmLYZg==" saltValue="2b88bIgMkCXNG/ixIc/ZHw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Piping_Dashboard</vt:lpstr>
      <vt:lpstr>Piping_Data</vt:lpstr>
      <vt:lpstr>Piping_Summary</vt:lpstr>
      <vt:lpstr>Upcoming_Deadline</vt:lpstr>
      <vt:lpstr>Piping_Summary!Complete</vt:lpstr>
      <vt:lpstr>Complete</vt:lpstr>
      <vt:lpstr>Piping_Summary!In_Progress</vt:lpstr>
      <vt:lpstr>In_Progress</vt:lpstr>
      <vt:lpstr>InProgress</vt:lpstr>
      <vt:lpstr>Piping_Summary!Undone</vt:lpstr>
      <vt:lpstr>Undone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Jola</dc:creator>
  <cp:lastModifiedBy>Jola</cp:lastModifiedBy>
  <dcterms:created xsi:type="dcterms:W3CDTF">2023-06-05T17:36:01Z</dcterms:created>
  <dcterms:modified xsi:type="dcterms:W3CDTF">2023-07-31T12:34:47Z</dcterms:modified>
</cp:coreProperties>
</file>